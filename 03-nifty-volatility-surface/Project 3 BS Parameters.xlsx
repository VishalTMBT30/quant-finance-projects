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/>
  </bookViews>
  <sheets>
    <sheet name="1M" sheetId="1" r:id="rId1"/>
    <sheet name="3M" sheetId="2" r:id="rId2"/>
    <sheet name="6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<sst xmlns="http://schemas.openxmlformats.org/spreadsheetml/2006/main" count="117" uniqueCount="45">
  <si>
    <t>Black-Scholes Parameter Calculation – 1M Expiry (Nifty Options)</t>
  </si>
  <si>
    <t>Sigma (future volatility) is solved live via Newton-Raphson iteration below – no external inputs.</t>
  </si>
  <si>
    <t>Time to Expiry (T, years)</t>
  </si>
  <si>
    <t>1/12 (1 month)</t>
  </si>
  <si>
    <t>Risk-free Rate (r)</t>
  </si>
  <si>
    <t>Spot Price (S) – via Put-Call Parity at ATM strike</t>
  </si>
  <si>
    <t>(uses ATM row 59: Strike ≈ spot)</t>
  </si>
  <si>
    <t>Newton-Raphson seed (initial sigma guess)</t>
  </si>
  <si>
    <t>Strike (K)</t>
  </si>
  <si>
    <t>CE Market
Price (LTP)</t>
  </si>
  <si>
    <t>CE σ Iter0 (seed)</t>
  </si>
  <si>
    <t>CE σ Iter1</t>
  </si>
  <si>
    <t>CE σ Iter2</t>
  </si>
  <si>
    <t>CE σ Iter3</t>
  </si>
  <si>
    <t>CE σ Iter4</t>
  </si>
  <si>
    <t>CE σ Iter5</t>
  </si>
  <si>
    <t>CE σ Iter6</t>
  </si>
  <si>
    <t>CE σ Iter7 (final)</t>
  </si>
  <si>
    <t>CE d1</t>
  </si>
  <si>
    <t>CE d2</t>
  </si>
  <si>
    <t>N(d1)</t>
  </si>
  <si>
    <t>N(d2)</t>
  </si>
  <si>
    <t>CE BS Price
(check)</t>
  </si>
  <si>
    <t>CE Price
Diff</t>
  </si>
  <si>
    <t>PE Market
Price (LTP)</t>
  </si>
  <si>
    <t>PE σ Iter0 (seed)</t>
  </si>
  <si>
    <t>PE σ Iter1</t>
  </si>
  <si>
    <t>PE σ Iter2</t>
  </si>
  <si>
    <t>PE σ Iter3</t>
  </si>
  <si>
    <t>PE σ Iter4</t>
  </si>
  <si>
    <t>PE σ Iter5</t>
  </si>
  <si>
    <t>PE σ Iter6</t>
  </si>
  <si>
    <t>PE σ Iter7 (final)</t>
  </si>
  <si>
    <t>PE d1</t>
  </si>
  <si>
    <t>PE d2</t>
  </si>
  <si>
    <t>N(-d1)</t>
  </si>
  <si>
    <t>N(-d2)</t>
  </si>
  <si>
    <t>PE BS Price
(check)</t>
  </si>
  <si>
    <t>PE Price
Diff</t>
  </si>
  <si>
    <t>Black-Scholes Parameter Calculation – 3M Expiry (Nifty Options)</t>
  </si>
  <si>
    <t>3/12 (3 months)</t>
  </si>
  <si>
    <t>(uses ATM row 25: Strike ≈ spot)</t>
  </si>
  <si>
    <t>Black-Scholes Parameter Calculation – 6M Expiry (Nifty Options)</t>
  </si>
  <si>
    <t>6/12 (6 months)</t>
  </si>
  <si>
    <t>(uses ATM row 16: Strike ≈ spot)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</si>
</sst>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</numFmts>
  <fonts count="26">
    <font>
      <sz val="11"/>
      <color theme="1"/>
      <name val="Calibri"/>
      <charset val="1"/>
    </font>
    <font>
      <b/>
      <sz val="14"/>
      <name val="Arial"/>
      <charset val="1"/>
    </font>
    <font>
      <sz val="11"/>
      <color theme="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80" fontId="4" fillId="0" borderId="0" xfId="0" applyNumberFormat="1" applyFont="1"/>
    <xf numFmtId="0" fontId="4" fillId="2" borderId="0" xfId="0" applyFont="1" applyFill="1"/>
    <xf numFmtId="0" fontId="3" fillId="3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8"/>
  <sheetViews>
    <sheetView tabSelected="1" workbookViewId="0">
      <pane xSplit="1" ySplit="9" topLeftCell="B10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12" customWidth="1"/>
    <col min="2" max="2" width="13" customWidth="1"/>
    <col min="3" max="10" width="10" customWidth="1"/>
    <col min="11" max="17" width="12" customWidth="1"/>
    <col min="18" max="25" width="10" customWidth="1"/>
    <col min="26" max="31" width="12" customWidth="1"/>
  </cols>
  <sheetData>
    <row r="1" ht="17.4" spans="1:31">
      <c r="A1" s="1" t="s">
        <v>0</v>
      </c>
    </row>
    <row r="2" spans="1:31">
      <c r="A2" s="2" t="s">
        <v>1</v>
      </c>
    </row>
    <row r="4" spans="1:31">
      <c r="A4" s="3" t="s">
        <v>2</v>
      </c>
      <c r="B4" s="4">
        <v>0.0833333333333333</v>
      </c>
      <c r="C4" s="2" t="s">
        <v>3</v>
      </c>
    </row>
    <row r="5" spans="1:31">
      <c r="A5" s="3" t="s">
        <v>4</v>
      </c>
      <c r="B5" s="5">
        <v>0.065</v>
      </c>
    </row>
    <row r="6" spans="1:31">
      <c r="A6" s="3" t="s">
        <v>5</v>
      </c>
      <c r="B6" s="2">
        <f>B59-Q59+A59</f>
        <v>23261.6</v>
      </c>
      <c r="C6" s="2" t="s">
        <v>6</v>
      </c>
    </row>
    <row r="8" spans="1:31">
      <c r="A8" s="3" t="s">
        <v>7</v>
      </c>
      <c r="B8" s="6">
        <v>0.3</v>
      </c>
    </row>
    <row r="9" ht="30" customHeight="1" spans="1:31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7" t="s">
        <v>18</v>
      </c>
      <c r="L9" s="7" t="s">
        <v>19</v>
      </c>
      <c r="M9" s="7" t="s">
        <v>20</v>
      </c>
      <c r="N9" s="7" t="s">
        <v>21</v>
      </c>
      <c r="O9" s="7" t="s">
        <v>22</v>
      </c>
      <c r="P9" s="7" t="s">
        <v>23</v>
      </c>
      <c r="Q9" s="7" t="s">
        <v>24</v>
      </c>
      <c r="R9" s="7" t="s">
        <v>25</v>
      </c>
      <c r="S9" s="7" t="s">
        <v>26</v>
      </c>
      <c r="T9" s="7" t="s">
        <v>27</v>
      </c>
      <c r="U9" s="7" t="s">
        <v>28</v>
      </c>
      <c r="V9" s="7" t="s">
        <v>29</v>
      </c>
      <c r="W9" s="7" t="s">
        <v>30</v>
      </c>
      <c r="X9" s="7" t="s">
        <v>31</v>
      </c>
      <c r="Y9" s="7" t="s">
        <v>32</v>
      </c>
      <c r="Z9" s="7" t="s">
        <v>33</v>
      </c>
      <c r="AA9" s="7" t="s">
        <v>34</v>
      </c>
      <c r="AB9" s="7" t="s">
        <v>35</v>
      </c>
      <c r="AC9" s="7" t="s">
        <v>36</v>
      </c>
      <c r="AD9" s="7" t="s">
        <v>37</v>
      </c>
      <c r="AE9" s="7" t="s">
        <v>38</v>
      </c>
    </row>
    <row r="10" spans="1:31">
      <c r="A10" s="2">
        <v>20800</v>
      </c>
      <c r="Q10" s="2">
        <v>14.2</v>
      </c>
      <c r="R10" s="4">
        <v>0.3</v>
      </c>
      <c r="S10" s="2">
        <f>IFERROR(MEDIAN(0.0001,5,R10-((A10*EXP(-$B$5*$B$4)*NORMSDIST(-(((LN($B$6/A10)+($B$5+R10^2/2)*$B$4)/(R10*SQRT($B$4))-R10*SQRT($B$4))))-$B$6*NORMSDIST(-((LN($B$6/A10)+($B$5+R10^2/2)*$B$4)/(R10*SQRT($B$4)))))-Q10)/($B$6*SQRT($B$4)*NORMDIST((LN($B$6/A10)+($B$5+R10^2/2)*$B$4)/(R10*SQRT($B$4)),0,1,FALSE()))),R10)</f>
        <v>0.237805021415019</v>
      </c>
      <c r="T10" s="2">
        <f>IFERROR(MEDIAN(0.0001,5,S10-((A10*EXP(-$B$5*$B$4)*NORMSDIST(-(((LN($B$6/A10)+($B$5+S10^2/2)*$B$4)/(S10*SQRT($B$4))-S10*SQRT($B$4))))-$B$6*NORMSDIST(-((LN($B$6/A10)+($B$5+S10^2/2)*$B$4)/(S10*SQRT($B$4)))))-Q10)/($B$6*SQRT($B$4)*NORMDIST((LN($B$6/A10)+($B$5+S10^2/2)*$B$4)/(S10*SQRT($B$4)),0,1,FALSE()))),S10)</f>
        <v>0.216030263701228</v>
      </c>
      <c r="U10" s="2">
        <f>IFERROR(MEDIAN(0.0001,5,T10-((A10*EXP(-$B$5*$B$4)*NORMSDIST(-(((LN($B$6/A10)+($B$5+T10^2/2)*$B$4)/(T10*SQRT($B$4))-T10*SQRT($B$4))))-$B$6*NORMSDIST(-((LN($B$6/A10)+($B$5+T10^2/2)*$B$4)/(T10*SQRT($B$4)))))-Q10)/($B$6*SQRT($B$4)*NORMDIST((LN($B$6/A10)+($B$5+T10^2/2)*$B$4)/(T10*SQRT($B$4)),0,1,FALSE()))),T10)</f>
        <v>0.212077429452764</v>
      </c>
      <c r="V10" s="2">
        <f>IFERROR(MEDIAN(0.0001,5,U10-((A10*EXP(-$B$5*$B$4)*NORMSDIST(-(((LN($B$6/A10)+($B$5+U10^2/2)*$B$4)/(U10*SQRT($B$4))-U10*SQRT($B$4))))-$B$6*NORMSDIST(-((LN($B$6/A10)+($B$5+U10^2/2)*$B$4)/(U10*SQRT($B$4)))))-Q10)/($B$6*SQRT($B$4)*NORMDIST((LN($B$6/A10)+($B$5+U10^2/2)*$B$4)/(U10*SQRT($B$4)),0,1,FALSE()))),U10)</f>
        <v>0.211941273617822</v>
      </c>
      <c r="W10" s="2">
        <f>IFERROR(MEDIAN(0.0001,5,V10-((A10*EXP(-$B$5*$B$4)*NORMSDIST(-(((LN($B$6/A10)+($B$5+V10^2/2)*$B$4)/(V10*SQRT($B$4))-V10*SQRT($B$4))))-$B$6*NORMSDIST(-((LN($B$6/A10)+($B$5+V10^2/2)*$B$4)/(V10*SQRT($B$4)))))-Q10)/($B$6*SQRT($B$4)*NORMDIST((LN($B$6/A10)+($B$5+V10^2/2)*$B$4)/(V10*SQRT($B$4)),0,1,FALSE()))),V10)</f>
        <v>0.211941112943209</v>
      </c>
      <c r="X10" s="2">
        <f>IFERROR(MEDIAN(0.0001,5,W10-((A10*EXP(-$B$5*$B$4)*NORMSDIST(-(((LN($B$6/A10)+($B$5+W10^2/2)*$B$4)/(W10*SQRT($B$4))-W10*SQRT($B$4))))-$B$6*NORMSDIST(-((LN($B$6/A10)+($B$5+W10^2/2)*$B$4)/(W10*SQRT($B$4)))))-Q10)/($B$6*SQRT($B$4)*NORMDIST((LN($B$6/A10)+($B$5+W10^2/2)*$B$4)/(W10*SQRT($B$4)),0,1,FALSE()))),W10)</f>
        <v>0.211941112942986</v>
      </c>
      <c r="Y10" s="2">
        <f>IFERROR(MEDIAN(0.0001,5,X10-((A10*EXP(-$B$5*$B$4)*NORMSDIST(-(((LN($B$6/A10)+($B$5+X10^2/2)*$B$4)/(X10*SQRT($B$4))-X10*SQRT($B$4))))-$B$6*NORMSDIST(-((LN($B$6/A10)+($B$5+X10^2/2)*$B$4)/(X10*SQRT($B$4)))))-Q10)/($B$6*SQRT($B$4)*NORMDIST((LN($B$6/A10)+($B$5+X10^2/2)*$B$4)/(X10*SQRT($B$4)),0,1,FALSE()))),X10)</f>
        <v>0.211941112942986</v>
      </c>
      <c r="Z10" s="2">
        <f>(LN($B$6/A10)+($B$5+Y10^2/2)*$B$4)/(Y10*SQRT($B$4))</f>
        <v>1.94728820537812</v>
      </c>
      <c r="AA10" s="2">
        <f>Z10-Y10*SQRT($B$4)</f>
        <v>1.88610607607313</v>
      </c>
      <c r="AB10" s="2">
        <f>NORMSDIST(-Z10)</f>
        <v>0.0257500959734677</v>
      </c>
      <c r="AC10" s="2">
        <f>NORMSDIST(-AA10)</f>
        <v>0.0296403308491622</v>
      </c>
      <c r="AD10" s="2">
        <f>A10*EXP(-$B$5*$B$4)*AC10-$B$6*AB10</f>
        <v>14.1999999999998</v>
      </c>
      <c r="AE10" s="2">
        <f>AD10-Q10</f>
        <v>-1.81188397618826e-13</v>
      </c>
    </row>
    <row r="11" spans="1:31">
      <c r="A11" s="2">
        <v>20850</v>
      </c>
    </row>
    <row r="12" spans="1:31">
      <c r="A12" s="2">
        <v>20900</v>
      </c>
    </row>
    <row r="13" spans="1:31">
      <c r="A13" s="2">
        <v>20950</v>
      </c>
    </row>
    <row r="14" spans="1:31">
      <c r="A14" s="2">
        <v>21000</v>
      </c>
      <c r="B14" s="2">
        <v>2238.1</v>
      </c>
      <c r="C14" s="4">
        <v>0.3</v>
      </c>
      <c r="D14" s="2">
        <f>IFERROR(MEDIAN(0.0001,5,C14-(($B$6*NORMSDIST((LN($B$6/A14)+($B$5+C14^2/2)*$B$4)/(C14*SQRT($B$4)))-A14*EXP(-$B$5*$B$4)*NORMSDIST(((LN($B$6/A14)+($B$5+C14^2/2)*$B$4)/(C14*SQRT($B$4))-C14*SQRT($B$4))))-B14)/($B$6*SQRT($B$4)*NORMDIST((LN($B$6/A14)+($B$5+C14^2/2)*$B$4)/(C14*SQRT($B$4)),0,1,FALSE()))),C14)</f>
        <v>0.0994358434799505</v>
      </c>
      <c r="E14" s="2">
        <f>IFERROR(MEDIAN(0.0001,5,D14-(($B$6*NORMSDIST((LN($B$6/A14)+($B$5+D14^2/2)*$B$4)/(D14*SQRT($B$4)))-A14*EXP(-$B$5*$B$4)*NORMSDIST(((LN($B$6/A14)+($B$5+D14^2/2)*$B$4)/(D14*SQRT($B$4))-D14*SQRT($B$4))))-B14)/($B$6*SQRT($B$4)*NORMDIST((LN($B$6/A14)+($B$5+D14^2/2)*$B$4)/(D14*SQRT($B$4)),0,1,FALSE()))),D14)</f>
        <v>0.0001</v>
      </c>
      <c r="F14" s="2">
        <f>IFERROR(MEDIAN(0.0001,5,E14-(($B$6*NORMSDIST((LN($B$6/A14)+($B$5+E14^2/2)*$B$4)/(E14*SQRT($B$4)))-A14*EXP(-$B$5*$B$4)*NORMSDIST(((LN($B$6/A14)+($B$5+E14^2/2)*$B$4)/(E14*SQRT($B$4))-E14*SQRT($B$4))))-B14)/($B$6*SQRT($B$4)*NORMDIST((LN($B$6/A14)+($B$5+E14^2/2)*$B$4)/(E14*SQRT($B$4)),0,1,FALSE()))),E14)</f>
        <v>0.0001</v>
      </c>
      <c r="G14" s="2">
        <f>IFERROR(MEDIAN(0.0001,5,F14-(($B$6*NORMSDIST((LN($B$6/A14)+($B$5+F14^2/2)*$B$4)/(F14*SQRT($B$4)))-A14*EXP(-$B$5*$B$4)*NORMSDIST(((LN($B$6/A14)+($B$5+F14^2/2)*$B$4)/(F14*SQRT($B$4))-F14*SQRT($B$4))))-B14)/($B$6*SQRT($B$4)*NORMDIST((LN($B$6/A14)+($B$5+F14^2/2)*$B$4)/(F14*SQRT($B$4)),0,1,FALSE()))),F14)</f>
        <v>0.0001</v>
      </c>
      <c r="H14" s="2">
        <f>IFERROR(MEDIAN(0.0001,5,G14-(($B$6*NORMSDIST((LN($B$6/A14)+($B$5+G14^2/2)*$B$4)/(G14*SQRT($B$4)))-A14*EXP(-$B$5*$B$4)*NORMSDIST(((LN($B$6/A14)+($B$5+G14^2/2)*$B$4)/(G14*SQRT($B$4))-G14*SQRT($B$4))))-B14)/($B$6*SQRT($B$4)*NORMDIST((LN($B$6/A14)+($B$5+G14^2/2)*$B$4)/(G14*SQRT($B$4)),0,1,FALSE()))),G14)</f>
        <v>0.0001</v>
      </c>
      <c r="I14" s="2">
        <f>IFERROR(MEDIAN(0.0001,5,H14-(($B$6*NORMSDIST((LN($B$6/A14)+($B$5+H14^2/2)*$B$4)/(H14*SQRT($B$4)))-A14*EXP(-$B$5*$B$4)*NORMSDIST(((LN($B$6/A14)+($B$5+H14^2/2)*$B$4)/(H14*SQRT($B$4))-H14*SQRT($B$4))))-B14)/($B$6*SQRT($B$4)*NORMDIST((LN($B$6/A14)+($B$5+H14^2/2)*$B$4)/(H14*SQRT($B$4)),0,1,FALSE()))),H14)</f>
        <v>0.0001</v>
      </c>
      <c r="J14" s="2">
        <f>IFERROR(MEDIAN(0.0001,5,I14-(($B$6*NORMSDIST((LN($B$6/A14)+($B$5+I14^2/2)*$B$4)/(I14*SQRT($B$4)))-A14*EXP(-$B$5*$B$4)*NORMSDIST(((LN($B$6/A14)+($B$5+I14^2/2)*$B$4)/(I14*SQRT($B$4))-I14*SQRT($B$4))))-B14)/($B$6*SQRT($B$4)*NORMDIST((LN($B$6/A14)+($B$5+I14^2/2)*$B$4)/(I14*SQRT($B$4)),0,1,FALSE()))),I14)</f>
        <v>0.0001</v>
      </c>
      <c r="K14" s="2">
        <f>(LN($B$6/A14)+($B$5+J14^2/2)*$B$4)/(J14*SQRT($B$4))</f>
        <v>3730.77375902375</v>
      </c>
      <c r="L14" s="2">
        <f>K14-J14*SQRT($B$4)</f>
        <v>3730.77373015624</v>
      </c>
      <c r="M14" s="2">
        <f>NORMSDIST(K14)</f>
        <v>1</v>
      </c>
      <c r="N14" s="2">
        <f>NORMSDIST(L14)</f>
        <v>1</v>
      </c>
      <c r="O14" s="2">
        <f>$B$6*M14-A14*EXP(-$B$5*$B$4)*N14</f>
        <v>2375.04248257367</v>
      </c>
      <c r="P14" s="2">
        <f>O14-B14</f>
        <v>136.942482573666</v>
      </c>
      <c r="Q14" s="2">
        <v>15.9</v>
      </c>
      <c r="R14" s="4">
        <v>0.3</v>
      </c>
      <c r="S14" s="2">
        <f>IFERROR(MEDIAN(0.0001,5,R14-((A14*EXP(-$B$5*$B$4)*NORMSDIST(-(((LN($B$6/A14)+($B$5+R14^2/2)*$B$4)/(R14*SQRT($B$4))-R14*SQRT($B$4))))-$B$6*NORMSDIST(-((LN($B$6/A14)+($B$5+R14^2/2)*$B$4)/(R14*SQRT($B$4)))))-Q14)/($B$6*SQRT($B$4)*NORMDIST((LN($B$6/A14)+($B$5+R14^2/2)*$B$4)/(R14*SQRT($B$4)),0,1,FALSE()))),R14)</f>
        <v>0.230023143411617</v>
      </c>
      <c r="T14" s="2">
        <f>IFERROR(MEDIAN(0.0001,5,S14-((A14*EXP(-$B$5*$B$4)*NORMSDIST(-(((LN($B$6/A14)+($B$5+S14^2/2)*$B$4)/(S14*SQRT($B$4))-S14*SQRT($B$4))))-$B$6*NORMSDIST(-((LN($B$6/A14)+($B$5+S14^2/2)*$B$4)/(S14*SQRT($B$4)))))-Q14)/($B$6*SQRT($B$4)*NORMDIST((LN($B$6/A14)+($B$5+S14^2/2)*$B$4)/(S14*SQRT($B$4)),0,1,FALSE()))),S14)</f>
        <v>0.205959628384635</v>
      </c>
      <c r="U14" s="2">
        <f>IFERROR(MEDIAN(0.0001,5,T14-((A14*EXP(-$B$5*$B$4)*NORMSDIST(-(((LN($B$6/A14)+($B$5+T14^2/2)*$B$4)/(T14*SQRT($B$4))-T14*SQRT($B$4))))-$B$6*NORMSDIST(-((LN($B$6/A14)+($B$5+T14^2/2)*$B$4)/(T14*SQRT($B$4)))))-Q14)/($B$6*SQRT($B$4)*NORMDIST((LN($B$6/A14)+($B$5+T14^2/2)*$B$4)/(T14*SQRT($B$4)),0,1,FALSE()))),T14)</f>
        <v>0.201341296694893</v>
      </c>
      <c r="V14" s="2">
        <f>IFERROR(MEDIAN(0.0001,5,U14-((A14*EXP(-$B$5*$B$4)*NORMSDIST(-(((LN($B$6/A14)+($B$5+U14^2/2)*$B$4)/(U14*SQRT($B$4))-U14*SQRT($B$4))))-$B$6*NORMSDIST(-((LN($B$6/A14)+($B$5+U14^2/2)*$B$4)/(U14*SQRT($B$4)))))-Q14)/($B$6*SQRT($B$4)*NORMDIST((LN($B$6/A14)+($B$5+U14^2/2)*$B$4)/(U14*SQRT($B$4)),0,1,FALSE()))),U14)</f>
        <v>0.201158446829548</v>
      </c>
      <c r="W14" s="2">
        <f>IFERROR(MEDIAN(0.0001,5,V14-((A14*EXP(-$B$5*$B$4)*NORMSDIST(-(((LN($B$6/A14)+($B$5+V14^2/2)*$B$4)/(V14*SQRT($B$4))-V14*SQRT($B$4))))-$B$6*NORMSDIST(-((LN($B$6/A14)+($B$5+V14^2/2)*$B$4)/(V14*SQRT($B$4)))))-Q14)/($B$6*SQRT($B$4)*NORMDIST((LN($B$6/A14)+($B$5+V14^2/2)*$B$4)/(V14*SQRT($B$4)),0,1,FALSE()))),V14)</f>
        <v>0.201158160971495</v>
      </c>
      <c r="X14" s="2">
        <f>IFERROR(MEDIAN(0.0001,5,W14-((A14*EXP(-$B$5*$B$4)*NORMSDIST(-(((LN($B$6/A14)+($B$5+W14^2/2)*$B$4)/(W14*SQRT($B$4))-W14*SQRT($B$4))))-$B$6*NORMSDIST(-((LN($B$6/A14)+($B$5+W14^2/2)*$B$4)/(W14*SQRT($B$4)))))-Q14)/($B$6*SQRT($B$4)*NORMDIST((LN($B$6/A14)+($B$5+W14^2/2)*$B$4)/(W14*SQRT($B$4)),0,1,FALSE()))),W14)</f>
        <v>0.201158160970796</v>
      </c>
      <c r="Y14" s="2">
        <f>IFERROR(MEDIAN(0.0001,5,X14-((A14*EXP(-$B$5*$B$4)*NORMSDIST(-(((LN($B$6/A14)+($B$5+X14^2/2)*$B$4)/(X14*SQRT($B$4))-X14*SQRT($B$4))))-$B$6*NORMSDIST(-((LN($B$6/A14)+($B$5+X14^2/2)*$B$4)/(X14*SQRT($B$4)))))-Q14)/($B$6*SQRT($B$4)*NORMDIST((LN($B$6/A14)+($B$5+X14^2/2)*$B$4)/(X14*SQRT($B$4)),0,1,FALSE()))),X14)</f>
        <v>0.201158160970797</v>
      </c>
      <c r="Z14" s="2">
        <f>(LN($B$6/A14)+($B$5+Y14^2/2)*$B$4)/(Y14*SQRT($B$4))</f>
        <v>1.88368165319441</v>
      </c>
      <c r="AA14" s="2">
        <f>Z14-Y14*SQRT($B$4)</f>
        <v>1.82561229400132</v>
      </c>
      <c r="AB14" s="2">
        <f>NORMSDIST(-Z14)</f>
        <v>0.0298040247848535</v>
      </c>
      <c r="AC14" s="2">
        <f>NORMSDIST(-AA14)</f>
        <v>0.0339543413194658</v>
      </c>
      <c r="AD14" s="2">
        <f>A14*EXP(-$B$5*$B$4)*AC14-$B$6*AB14</f>
        <v>15.8999999999999</v>
      </c>
      <c r="AE14" s="2">
        <f>AD14-Q14</f>
        <v>-1.36779476633819e-13</v>
      </c>
    </row>
    <row r="15" spans="1:31">
      <c r="A15" s="2">
        <v>21050</v>
      </c>
    </row>
    <row r="16" spans="1:31">
      <c r="A16" s="2">
        <v>21100</v>
      </c>
      <c r="Q16" s="2">
        <v>17.85</v>
      </c>
      <c r="R16" s="4">
        <v>0.3</v>
      </c>
      <c r="S16" s="2">
        <f t="shared" ref="S16:S79" si="0">IFERROR(MEDIAN(0.0001,5,R16-((A16*EXP(-$B$5*$B$4)*NORMSDIST(-(((LN($B$6/A16)+($B$5+R16^2/2)*$B$4)/(R16*SQRT($B$4))-R16*SQRT($B$4))))-$B$6*NORMSDIST(-((LN($B$6/A16)+($B$5+R16^2/2)*$B$4)/(R16*SQRT($B$4)))))-Q16)/($B$6*SQRT($B$4)*NORMDIST((LN($B$6/A16)+($B$5+R16^2/2)*$B$4)/(R16*SQRT($B$4)),0,1,FALSE()))),R16)</f>
        <v>0.226696328597625</v>
      </c>
      <c r="T16" s="2">
        <f t="shared" ref="T16:T79" si="1">IFERROR(MEDIAN(0.0001,5,S16-((A16*EXP(-$B$5*$B$4)*NORMSDIST(-(((LN($B$6/A16)+($B$5+S16^2/2)*$B$4)/(S16*SQRT($B$4))-S16*SQRT($B$4))))-$B$6*NORMSDIST(-((LN($B$6/A16)+($B$5+S16^2/2)*$B$4)/(S16*SQRT($B$4)))))-Q16)/($B$6*SQRT($B$4)*NORMDIST((LN($B$6/A16)+($B$5+S16^2/2)*$B$4)/(S16*SQRT($B$4)),0,1,FALSE()))),S16)</f>
        <v>0.202397472673999</v>
      </c>
      <c r="U16" s="2">
        <f t="shared" ref="U16:U79" si="2">IFERROR(MEDIAN(0.0001,5,T16-((A16*EXP(-$B$5*$B$4)*NORMSDIST(-(((LN($B$6/A16)+($B$5+T16^2/2)*$B$4)/(T16*SQRT($B$4))-T16*SQRT($B$4))))-$B$6*NORMSDIST(-((LN($B$6/A16)+($B$5+T16^2/2)*$B$4)/(T16*SQRT($B$4)))))-Q16)/($B$6*SQRT($B$4)*NORMDIST((LN($B$6/A16)+($B$5+T16^2/2)*$B$4)/(T16*SQRT($B$4)),0,1,FALSE()))),T16)</f>
        <v>0.197921439127142</v>
      </c>
      <c r="V16" s="2">
        <f t="shared" ref="V16:V79" si="3">IFERROR(MEDIAN(0.0001,5,U16-((A16*EXP(-$B$5*$B$4)*NORMSDIST(-(((LN($B$6/A16)+($B$5+U16^2/2)*$B$4)/(U16*SQRT($B$4))-U16*SQRT($B$4))))-$B$6*NORMSDIST(-((LN($B$6/A16)+($B$5+U16^2/2)*$B$4)/(U16*SQRT($B$4)))))-Q16)/($B$6*SQRT($B$4)*NORMDIST((LN($B$6/A16)+($B$5+U16^2/2)*$B$4)/(U16*SQRT($B$4)),0,1,FALSE()))),U16)</f>
        <v>0.19775669063142</v>
      </c>
      <c r="W16" s="2">
        <f t="shared" ref="W16:W79" si="4">IFERROR(MEDIAN(0.0001,5,V16-((A16*EXP(-$B$5*$B$4)*NORMSDIST(-(((LN($B$6/A16)+($B$5+V16^2/2)*$B$4)/(V16*SQRT($B$4))-V16*SQRT($B$4))))-$B$6*NORMSDIST(-((LN($B$6/A16)+($B$5+V16^2/2)*$B$4)/(V16*SQRT($B$4)))))-Q16)/($B$6*SQRT($B$4)*NORMDIST((LN($B$6/A16)+($B$5+V16^2/2)*$B$4)/(V16*SQRT($B$4)),0,1,FALSE()))),V16)</f>
        <v>0.197756467488183</v>
      </c>
      <c r="X16" s="2">
        <f t="shared" ref="X16:X79" si="5">IFERROR(MEDIAN(0.0001,5,W16-((A16*EXP(-$B$5*$B$4)*NORMSDIST(-(((LN($B$6/A16)+($B$5+W16^2/2)*$B$4)/(W16*SQRT($B$4))-W16*SQRT($B$4))))-$B$6*NORMSDIST(-((LN($B$6/A16)+($B$5+W16^2/2)*$B$4)/(W16*SQRT($B$4)))))-Q16)/($B$6*SQRT($B$4)*NORMDIST((LN($B$6/A16)+($B$5+W16^2/2)*$B$4)/(W16*SQRT($B$4)),0,1,FALSE()))),W16)</f>
        <v>0.197756467487772</v>
      </c>
      <c r="Y16" s="2">
        <f t="shared" ref="Y16:Y79" si="6">IFERROR(MEDIAN(0.0001,5,X16-((A16*EXP(-$B$5*$B$4)*NORMSDIST(-(((LN($B$6/A16)+($B$5+X16^2/2)*$B$4)/(X16*SQRT($B$4))-X16*SQRT($B$4))))-$B$6*NORMSDIST(-((LN($B$6/A16)+($B$5+X16^2/2)*$B$4)/(X16*SQRT($B$4)))))-Q16)/($B$6*SQRT($B$4)*NORMDIST((LN($B$6/A16)+($B$5+X16^2/2)*$B$4)/(X16*SQRT($B$4)),0,1,FALSE()))),X16)</f>
        <v>0.197756467487774</v>
      </c>
      <c r="Z16" s="2">
        <f t="shared" ref="Z16:Z79" si="7">(LN($B$6/A16)+($B$5+Y16^2/2)*$B$4)/(Y16*SQRT($B$4))</f>
        <v>1.83187688963237</v>
      </c>
      <c r="AA16" s="2">
        <f t="shared" ref="AA16:AA79" si="8">Z16-Y16*SQRT($B$4)</f>
        <v>1.77478951476334</v>
      </c>
      <c r="AB16" s="2">
        <f t="shared" ref="AB16:AB79" si="9">NORMSDIST(-Z16)</f>
        <v>0.0334848821962758</v>
      </c>
      <c r="AC16" s="2">
        <f t="shared" ref="AC16:AC79" si="10">NORMSDIST(-AA16)</f>
        <v>0.0379663241353814</v>
      </c>
      <c r="AD16" s="2">
        <f t="shared" ref="AD16:AD79" si="11">A16*EXP(-$B$5*$B$4)*AC16-$B$6*AB16</f>
        <v>17.85</v>
      </c>
      <c r="AE16" s="2">
        <f t="shared" ref="AE16:AE79" si="12">AD16-Q16</f>
        <v>0</v>
      </c>
    </row>
    <row r="17" spans="1:31">
      <c r="A17" s="2">
        <v>21150</v>
      </c>
      <c r="Q17" s="2">
        <v>20.8</v>
      </c>
      <c r="R17" s="4">
        <v>0.3</v>
      </c>
      <c r="S17" s="2">
        <f t="shared" si="0"/>
        <v>0.226429378356859</v>
      </c>
      <c r="T17" s="2">
        <f t="shared" si="1"/>
        <v>0.203392831204802</v>
      </c>
      <c r="U17" s="2">
        <f t="shared" si="2"/>
        <v>0.199645763943833</v>
      </c>
      <c r="V17" s="2">
        <f t="shared" si="3"/>
        <v>0.199538692508486</v>
      </c>
      <c r="W17" s="2">
        <f t="shared" si="4"/>
        <v>0.199538604942521</v>
      </c>
      <c r="X17" s="2">
        <f t="shared" si="5"/>
        <v>0.199538604942463</v>
      </c>
      <c r="Y17" s="2">
        <f t="shared" si="6"/>
        <v>0.199538604942462</v>
      </c>
      <c r="Z17" s="2">
        <f t="shared" si="7"/>
        <v>1.77493792607452</v>
      </c>
      <c r="AA17" s="2">
        <f t="shared" si="8"/>
        <v>1.71733609243589</v>
      </c>
      <c r="AB17" s="2">
        <f t="shared" si="9"/>
        <v>0.0379540685914009</v>
      </c>
      <c r="AC17" s="2">
        <f t="shared" si="10"/>
        <v>0.0429588905377791</v>
      </c>
      <c r="AD17" s="2">
        <f t="shared" si="11"/>
        <v>20.8000000000002</v>
      </c>
      <c r="AE17" s="2">
        <f t="shared" si="12"/>
        <v>1.81188397618826e-13</v>
      </c>
    </row>
    <row r="18" spans="1:31">
      <c r="A18" s="2">
        <v>21200</v>
      </c>
      <c r="Q18" s="2">
        <v>19.35</v>
      </c>
      <c r="R18" s="4">
        <v>0.3</v>
      </c>
      <c r="S18" s="2">
        <f t="shared" si="0"/>
        <v>0.222696386601522</v>
      </c>
      <c r="T18" s="2">
        <f t="shared" si="1"/>
        <v>0.197762388003443</v>
      </c>
      <c r="U18" s="2">
        <f t="shared" si="2"/>
        <v>0.193218542184121</v>
      </c>
      <c r="V18" s="2">
        <f t="shared" si="3"/>
        <v>0.19305279544647</v>
      </c>
      <c r="W18" s="2">
        <f t="shared" si="4"/>
        <v>0.193052574480947</v>
      </c>
      <c r="X18" s="2">
        <f t="shared" si="5"/>
        <v>0.193052574480553</v>
      </c>
      <c r="Y18" s="2">
        <f t="shared" si="6"/>
        <v>0.193052574480554</v>
      </c>
      <c r="Z18" s="2">
        <f t="shared" si="7"/>
        <v>1.79029677661748</v>
      </c>
      <c r="AA18" s="2">
        <f t="shared" si="8"/>
        <v>1.73456729869543</v>
      </c>
      <c r="AB18" s="2">
        <f t="shared" si="9"/>
        <v>0.0367031070973069</v>
      </c>
      <c r="AC18" s="2">
        <f t="shared" si="10"/>
        <v>0.0414087379376123</v>
      </c>
      <c r="AD18" s="2">
        <f t="shared" si="11"/>
        <v>19.35</v>
      </c>
      <c r="AE18" s="2">
        <f t="shared" si="12"/>
        <v>0</v>
      </c>
    </row>
    <row r="19" spans="1:31">
      <c r="A19" s="2">
        <v>21250</v>
      </c>
      <c r="Q19" s="2">
        <v>20.25</v>
      </c>
      <c r="R19" s="4">
        <v>0.3</v>
      </c>
      <c r="S19" s="2">
        <f t="shared" si="0"/>
        <v>0.220695345818733</v>
      </c>
      <c r="T19" s="2">
        <f t="shared" si="1"/>
        <v>0.195545383392584</v>
      </c>
      <c r="U19" s="2">
        <f t="shared" si="2"/>
        <v>0.191019480987138</v>
      </c>
      <c r="V19" s="2">
        <f t="shared" si="3"/>
        <v>0.190857557491765</v>
      </c>
      <c r="W19" s="2">
        <f t="shared" si="4"/>
        <v>0.190857349594748</v>
      </c>
      <c r="X19" s="2">
        <f t="shared" si="5"/>
        <v>0.190857349594405</v>
      </c>
      <c r="Y19" s="2">
        <f t="shared" si="6"/>
        <v>0.190857349594405</v>
      </c>
      <c r="Z19" s="2">
        <f t="shared" si="7"/>
        <v>1.76749455940767</v>
      </c>
      <c r="AA19" s="2">
        <f t="shared" si="8"/>
        <v>1.71239878832509</v>
      </c>
      <c r="AB19" s="2">
        <f t="shared" si="9"/>
        <v>0.0385727196808544</v>
      </c>
      <c r="AC19" s="2">
        <f t="shared" si="10"/>
        <v>0.0434116011080968</v>
      </c>
      <c r="AD19" s="2">
        <f t="shared" si="11"/>
        <v>20.25</v>
      </c>
      <c r="AE19" s="2">
        <f t="shared" si="12"/>
        <v>0</v>
      </c>
    </row>
    <row r="20" spans="1:31">
      <c r="A20" s="2">
        <v>21300</v>
      </c>
      <c r="Q20" s="2">
        <v>19.9</v>
      </c>
      <c r="R20" s="4">
        <v>0.3</v>
      </c>
      <c r="S20" s="2">
        <f t="shared" si="0"/>
        <v>0.21773679987058</v>
      </c>
      <c r="T20" s="2">
        <f t="shared" si="1"/>
        <v>0.191541572465441</v>
      </c>
      <c r="U20" s="2">
        <f t="shared" si="2"/>
        <v>0.18659429422495</v>
      </c>
      <c r="V20" s="2">
        <f t="shared" si="3"/>
        <v>0.186396833096016</v>
      </c>
      <c r="W20" s="2">
        <f t="shared" si="4"/>
        <v>0.186396517269458</v>
      </c>
      <c r="X20" s="2">
        <f t="shared" si="5"/>
        <v>0.186396517268649</v>
      </c>
      <c r="Y20" s="2">
        <f t="shared" si="6"/>
        <v>0.18639651726865</v>
      </c>
      <c r="Z20" s="2">
        <f t="shared" si="7"/>
        <v>1.76481394553448</v>
      </c>
      <c r="AA20" s="2">
        <f t="shared" si="8"/>
        <v>1.71100590582395</v>
      </c>
      <c r="AB20" s="2">
        <f t="shared" si="9"/>
        <v>0.038797520055366</v>
      </c>
      <c r="AC20" s="2">
        <f t="shared" si="10"/>
        <v>0.0435400113021493</v>
      </c>
      <c r="AD20" s="2">
        <f t="shared" si="11"/>
        <v>19.8999999999999</v>
      </c>
      <c r="AE20" s="2">
        <f t="shared" si="12"/>
        <v>-1.35003119794419e-13</v>
      </c>
    </row>
    <row r="21" spans="1:31">
      <c r="A21" s="2">
        <v>21350</v>
      </c>
      <c r="Q21" s="2">
        <v>22.75</v>
      </c>
      <c r="R21" s="4">
        <v>0.3</v>
      </c>
      <c r="S21" s="2">
        <f t="shared" si="0"/>
        <v>0.216926680391332</v>
      </c>
      <c r="T21" s="2">
        <f t="shared" si="1"/>
        <v>0.191767319661893</v>
      </c>
      <c r="U21" s="2">
        <f t="shared" si="2"/>
        <v>0.187484059869673</v>
      </c>
      <c r="V21" s="2">
        <f t="shared" si="3"/>
        <v>0.187345703538803</v>
      </c>
      <c r="W21" s="2">
        <f t="shared" si="4"/>
        <v>0.187345558406246</v>
      </c>
      <c r="X21" s="2">
        <f t="shared" si="5"/>
        <v>0.187345558406085</v>
      </c>
      <c r="Y21" s="2">
        <f t="shared" si="6"/>
        <v>0.187345558406086</v>
      </c>
      <c r="Z21" s="2">
        <f t="shared" si="7"/>
        <v>1.71279323219264</v>
      </c>
      <c r="AA21" s="2">
        <f t="shared" si="8"/>
        <v>1.65871122790403</v>
      </c>
      <c r="AB21" s="2">
        <f t="shared" si="9"/>
        <v>0.0433752928295381</v>
      </c>
      <c r="AC21" s="2">
        <f t="shared" si="10"/>
        <v>0.0485869979004178</v>
      </c>
      <c r="AD21" s="2">
        <f t="shared" si="11"/>
        <v>22.7500000000009</v>
      </c>
      <c r="AE21" s="2">
        <f t="shared" si="12"/>
        <v>9.09494701772928e-13</v>
      </c>
    </row>
    <row r="22" spans="1:31">
      <c r="A22" s="2">
        <v>21400</v>
      </c>
      <c r="B22" s="2">
        <v>1832.75</v>
      </c>
      <c r="C22" s="4">
        <v>0.3</v>
      </c>
      <c r="D22" s="2">
        <f>IFERROR(MEDIAN(0.0001,5,C22-(($B$6*NORMSDIST((LN($B$6/A22)+($B$5+C22^2/2)*$B$4)/(C22*SQRT($B$4)))-A22*EXP(-$B$5*$B$4)*NORMSDIST(((LN($B$6/A22)+($B$5+C22^2/2)*$B$4)/(C22*SQRT($B$4))-C22*SQRT($B$4))))-B22)/($B$6*SQRT($B$4)*NORMDIST((LN($B$6/A22)+($B$5+C22^2/2)*$B$4)/(C22*SQRT($B$4)),0,1,FALSE()))),C22)</f>
        <v>0.103552394115976</v>
      </c>
      <c r="E22" s="2">
        <f>IFERROR(MEDIAN(0.0001,5,D22-(($B$6*NORMSDIST((LN($B$6/A22)+($B$5+D22^2/2)*$B$4)/(D22*SQRT($B$4)))-A22*EXP(-$B$5*$B$4)*NORMSDIST(((LN($B$6/A22)+($B$5+D22^2/2)*$B$4)/(D22*SQRT($B$4))-D22*SQRT($B$4))))-B22)/($B$6*SQRT($B$4)*NORMDIST((LN($B$6/A22)+($B$5+D22^2/2)*$B$4)/(D22*SQRT($B$4)),0,1,FALSE()))),D22)</f>
        <v>0.0001</v>
      </c>
      <c r="F22" s="2">
        <f>IFERROR(MEDIAN(0.0001,5,E22-(($B$6*NORMSDIST((LN($B$6/A22)+($B$5+E22^2/2)*$B$4)/(E22*SQRT($B$4)))-A22*EXP(-$B$5*$B$4)*NORMSDIST(((LN($B$6/A22)+($B$5+E22^2/2)*$B$4)/(E22*SQRT($B$4))-E22*SQRT($B$4))))-B22)/($B$6*SQRT($B$4)*NORMDIST((LN($B$6/A22)+($B$5+E22^2/2)*$B$4)/(E22*SQRT($B$4)),0,1,FALSE()))),E22)</f>
        <v>0.0001</v>
      </c>
      <c r="G22" s="2">
        <f>IFERROR(MEDIAN(0.0001,5,F22-(($B$6*NORMSDIST((LN($B$6/A22)+($B$5+F22^2/2)*$B$4)/(F22*SQRT($B$4)))-A22*EXP(-$B$5*$B$4)*NORMSDIST(((LN($B$6/A22)+($B$5+F22^2/2)*$B$4)/(F22*SQRT($B$4))-F22*SQRT($B$4))))-B22)/($B$6*SQRT($B$4)*NORMDIST((LN($B$6/A22)+($B$5+F22^2/2)*$B$4)/(F22*SQRT($B$4)),0,1,FALSE()))),F22)</f>
        <v>0.0001</v>
      </c>
      <c r="H22" s="2">
        <f>IFERROR(MEDIAN(0.0001,5,G22-(($B$6*NORMSDIST((LN($B$6/A22)+($B$5+G22^2/2)*$B$4)/(G22*SQRT($B$4)))-A22*EXP(-$B$5*$B$4)*NORMSDIST(((LN($B$6/A22)+($B$5+G22^2/2)*$B$4)/(G22*SQRT($B$4))-G22*SQRT($B$4))))-B22)/($B$6*SQRT($B$4)*NORMDIST((LN($B$6/A22)+($B$5+G22^2/2)*$B$4)/(G22*SQRT($B$4)),0,1,FALSE()))),G22)</f>
        <v>0.0001</v>
      </c>
      <c r="I22" s="2">
        <f>IFERROR(MEDIAN(0.0001,5,H22-(($B$6*NORMSDIST((LN($B$6/A22)+($B$5+H22^2/2)*$B$4)/(H22*SQRT($B$4)))-A22*EXP(-$B$5*$B$4)*NORMSDIST(((LN($B$6/A22)+($B$5+H22^2/2)*$B$4)/(H22*SQRT($B$4))-H22*SQRT($B$4))))-B22)/($B$6*SQRT($B$4)*NORMDIST((LN($B$6/A22)+($B$5+H22^2/2)*$B$4)/(H22*SQRT($B$4)),0,1,FALSE()))),H22)</f>
        <v>0.0001</v>
      </c>
      <c r="J22" s="2">
        <f>IFERROR(MEDIAN(0.0001,5,I22-(($B$6*NORMSDIST((LN($B$6/A22)+($B$5+I22^2/2)*$B$4)/(I22*SQRT($B$4)))-A22*EXP(-$B$5*$B$4)*NORMSDIST(((LN($B$6/A22)+($B$5+I22^2/2)*$B$4)/(I22*SQRT($B$4))-I22*SQRT($B$4))))-B22)/($B$6*SQRT($B$4)*NORMDIST((LN($B$6/A22)+($B$5+I22^2/2)*$B$4)/(I22*SQRT($B$4)),0,1,FALSE()))),I22)</f>
        <v>0.0001</v>
      </c>
      <c r="K22" s="2">
        <f>(LN($B$6/A22)+($B$5+J22^2/2)*$B$4)/(J22*SQRT($B$4))</f>
        <v>3077.15028948361</v>
      </c>
      <c r="L22" s="2">
        <f>K22-J22*SQRT($B$4)</f>
        <v>3077.1502606161</v>
      </c>
      <c r="M22" s="2">
        <f>NORMSDIST(K22)</f>
        <v>1</v>
      </c>
      <c r="N22" s="2">
        <f>NORMSDIST(L22)</f>
        <v>1</v>
      </c>
      <c r="O22" s="2">
        <f>$B$6*M22-A22*EXP(-$B$5*$B$4)*N22</f>
        <v>1977.20329176555</v>
      </c>
      <c r="P22" s="2">
        <f>O22-B22</f>
        <v>144.453291765545</v>
      </c>
      <c r="Q22" s="2">
        <v>21.5</v>
      </c>
      <c r="R22" s="4">
        <v>0.3</v>
      </c>
      <c r="S22" s="2">
        <f t="shared" si="0"/>
        <v>0.213246328422424</v>
      </c>
      <c r="T22" s="2">
        <f t="shared" si="1"/>
        <v>0.186551586911513</v>
      </c>
      <c r="U22" s="2">
        <f t="shared" si="2"/>
        <v>0.181602541417176</v>
      </c>
      <c r="V22" s="2">
        <f t="shared" si="3"/>
        <v>0.181409622631343</v>
      </c>
      <c r="W22" s="2">
        <f t="shared" si="4"/>
        <v>0.181409327583118</v>
      </c>
      <c r="X22" s="2">
        <f t="shared" si="5"/>
        <v>0.181409327582427</v>
      </c>
      <c r="Y22" s="2">
        <f t="shared" si="6"/>
        <v>0.181409327582428</v>
      </c>
      <c r="Z22" s="2">
        <f t="shared" si="7"/>
        <v>1.7224311800431</v>
      </c>
      <c r="AA22" s="2">
        <f t="shared" si="8"/>
        <v>1.67006281798649</v>
      </c>
      <c r="AB22" s="2">
        <f t="shared" si="9"/>
        <v>0.0424957197473724</v>
      </c>
      <c r="AC22" s="2">
        <f t="shared" si="10"/>
        <v>0.0474534678300149</v>
      </c>
      <c r="AD22" s="2">
        <f t="shared" si="11"/>
        <v>21.5000000000005</v>
      </c>
      <c r="AE22" s="2">
        <f t="shared" si="12"/>
        <v>4.54747350886464e-13</v>
      </c>
    </row>
    <row r="23" spans="1:31">
      <c r="A23" s="2">
        <v>21450</v>
      </c>
      <c r="Q23" s="2">
        <v>24.6</v>
      </c>
      <c r="R23" s="4">
        <v>0.3</v>
      </c>
      <c r="S23" s="2">
        <f t="shared" si="0"/>
        <v>0.212357794917936</v>
      </c>
      <c r="T23" s="2">
        <f t="shared" si="1"/>
        <v>0.186757382786253</v>
      </c>
      <c r="U23" s="2">
        <f t="shared" si="2"/>
        <v>0.182493686103279</v>
      </c>
      <c r="V23" s="2">
        <f t="shared" si="3"/>
        <v>0.182360180666962</v>
      </c>
      <c r="W23" s="2">
        <f t="shared" si="4"/>
        <v>0.182360048788185</v>
      </c>
      <c r="X23" s="2">
        <f t="shared" si="5"/>
        <v>0.182360048788056</v>
      </c>
      <c r="Y23" s="2">
        <f t="shared" si="6"/>
        <v>0.182360048788056</v>
      </c>
      <c r="Z23" s="2">
        <f t="shared" si="7"/>
        <v>1.66939385881797</v>
      </c>
      <c r="AA23" s="2">
        <f t="shared" si="8"/>
        <v>1.61675104718936</v>
      </c>
      <c r="AB23" s="2">
        <f t="shared" si="9"/>
        <v>0.047519674960127</v>
      </c>
      <c r="AC23" s="2">
        <f t="shared" si="10"/>
        <v>0.0529660150548277</v>
      </c>
      <c r="AD23" s="2">
        <f t="shared" si="11"/>
        <v>24.5999999999997</v>
      </c>
      <c r="AE23" s="2">
        <f t="shared" si="12"/>
        <v>-3.19744231092045e-13</v>
      </c>
    </row>
    <row r="24" spans="1:31">
      <c r="A24" s="2">
        <v>21500</v>
      </c>
      <c r="B24" s="2">
        <v>1755</v>
      </c>
      <c r="C24" s="4">
        <v>0.3</v>
      </c>
      <c r="D24" s="2">
        <f>IFERROR(MEDIAN(0.0001,5,C24-(($B$6*NORMSDIST((LN($B$6/A24)+($B$5+C24^2/2)*$B$4)/(C24*SQRT($B$4)))-A24*EXP(-$B$5*$B$4)*NORMSDIST(((LN($B$6/A24)+($B$5+C24^2/2)*$B$4)/(C24*SQRT($B$4))-C24*SQRT($B$4))))-B24)/($B$6*SQRT($B$4)*NORMDIST((LN($B$6/A24)+($B$5+C24^2/2)*$B$4)/(C24*SQRT($B$4)),0,1,FALSE()))),C24)</f>
        <v>0.117288965967378</v>
      </c>
      <c r="E24" s="2">
        <f>IFERROR(MEDIAN(0.0001,5,D24-(($B$6*NORMSDIST((LN($B$6/A24)+($B$5+D24^2/2)*$B$4)/(D24*SQRT($B$4)))-A24*EXP(-$B$5*$B$4)*NORMSDIST(((LN($B$6/A24)+($B$5+D24^2/2)*$B$4)/(D24*SQRT($B$4))-D24*SQRT($B$4))))-B24)/($B$6*SQRT($B$4)*NORMDIST((LN($B$6/A24)+($B$5+D24^2/2)*$B$4)/(D24*SQRT($B$4)),0,1,FALSE()))),D24)</f>
        <v>0.0001</v>
      </c>
      <c r="F24" s="2">
        <f>IFERROR(MEDIAN(0.0001,5,E24-(($B$6*NORMSDIST((LN($B$6/A24)+($B$5+E24^2/2)*$B$4)/(E24*SQRT($B$4)))-A24*EXP(-$B$5*$B$4)*NORMSDIST(((LN($B$6/A24)+($B$5+E24^2/2)*$B$4)/(E24*SQRT($B$4))-E24*SQRT($B$4))))-B24)/($B$6*SQRT($B$4)*NORMDIST((LN($B$6/A24)+($B$5+E24^2/2)*$B$4)/(E24*SQRT($B$4)),0,1,FALSE()))),E24)</f>
        <v>0.0001</v>
      </c>
      <c r="G24" s="2">
        <f>IFERROR(MEDIAN(0.0001,5,F24-(($B$6*NORMSDIST((LN($B$6/A24)+($B$5+F24^2/2)*$B$4)/(F24*SQRT($B$4)))-A24*EXP(-$B$5*$B$4)*NORMSDIST(((LN($B$6/A24)+($B$5+F24^2/2)*$B$4)/(F24*SQRT($B$4))-F24*SQRT($B$4))))-B24)/($B$6*SQRT($B$4)*NORMDIST((LN($B$6/A24)+($B$5+F24^2/2)*$B$4)/(F24*SQRT($B$4)),0,1,FALSE()))),F24)</f>
        <v>0.0001</v>
      </c>
      <c r="H24" s="2">
        <f>IFERROR(MEDIAN(0.0001,5,G24-(($B$6*NORMSDIST((LN($B$6/A24)+($B$5+G24^2/2)*$B$4)/(G24*SQRT($B$4)))-A24*EXP(-$B$5*$B$4)*NORMSDIST(((LN($B$6/A24)+($B$5+G24^2/2)*$B$4)/(G24*SQRT($B$4))-G24*SQRT($B$4))))-B24)/($B$6*SQRT($B$4)*NORMDIST((LN($B$6/A24)+($B$5+G24^2/2)*$B$4)/(G24*SQRT($B$4)),0,1,FALSE()))),G24)</f>
        <v>0.0001</v>
      </c>
      <c r="I24" s="2">
        <f>IFERROR(MEDIAN(0.0001,5,H24-(($B$6*NORMSDIST((LN($B$6/A24)+($B$5+H24^2/2)*$B$4)/(H24*SQRT($B$4)))-A24*EXP(-$B$5*$B$4)*NORMSDIST(((LN($B$6/A24)+($B$5+H24^2/2)*$B$4)/(H24*SQRT($B$4))-H24*SQRT($B$4))))-B24)/($B$6*SQRT($B$4)*NORMDIST((LN($B$6/A24)+($B$5+H24^2/2)*$B$4)/(H24*SQRT($B$4)),0,1,FALSE()))),H24)</f>
        <v>0.0001</v>
      </c>
      <c r="J24" s="2">
        <f>IFERROR(MEDIAN(0.0001,5,I24-(($B$6*NORMSDIST((LN($B$6/A24)+($B$5+I24^2/2)*$B$4)/(I24*SQRT($B$4)))-A24*EXP(-$B$5*$B$4)*NORMSDIST(((LN($B$6/A24)+($B$5+I24^2/2)*$B$4)/(I24*SQRT($B$4))-I24*SQRT($B$4))))-B24)/($B$6*SQRT($B$4)*NORMDIST((LN($B$6/A24)+($B$5+I24^2/2)*$B$4)/(I24*SQRT($B$4)),0,1,FALSE()))),I24)</f>
        <v>0.0001</v>
      </c>
      <c r="K24" s="2">
        <f>(LN($B$6/A24)+($B$5+J24^2/2)*$B$4)/(J24*SQRT($B$4))</f>
        <v>2915.65341818727</v>
      </c>
      <c r="L24" s="2">
        <f>K24-J24*SQRT($B$4)</f>
        <v>2915.65338931975</v>
      </c>
      <c r="M24" s="2">
        <f>NORMSDIST(K24)</f>
        <v>1</v>
      </c>
      <c r="N24" s="2">
        <f>NORMSDIST(L24)</f>
        <v>1</v>
      </c>
      <c r="O24" s="2">
        <f>$B$6*M24-A24*EXP(-$B$5*$B$4)*N24</f>
        <v>1877.74349406352</v>
      </c>
      <c r="P24" s="2">
        <f>O24-B24</f>
        <v>122.743494063518</v>
      </c>
      <c r="Q24" s="2">
        <v>23</v>
      </c>
      <c r="R24" s="4">
        <v>0.3</v>
      </c>
      <c r="S24" s="2">
        <f t="shared" si="0"/>
        <v>0.20836886692516</v>
      </c>
      <c r="T24" s="2">
        <f t="shared" si="1"/>
        <v>0.18114872991473</v>
      </c>
      <c r="U24" s="2">
        <f t="shared" si="2"/>
        <v>0.176175242929028</v>
      </c>
      <c r="V24" s="2">
        <f t="shared" si="3"/>
        <v>0.175984149307148</v>
      </c>
      <c r="W24" s="2">
        <f t="shared" si="4"/>
        <v>0.175983864644782</v>
      </c>
      <c r="X24" s="2">
        <f t="shared" si="5"/>
        <v>0.175983864644152</v>
      </c>
      <c r="Y24" s="2">
        <f t="shared" si="6"/>
        <v>0.175983864644151</v>
      </c>
      <c r="Z24" s="2">
        <f t="shared" si="7"/>
        <v>1.68217422494928</v>
      </c>
      <c r="AA24" s="2">
        <f t="shared" si="8"/>
        <v>1.63137205913662</v>
      </c>
      <c r="AB24" s="2">
        <f t="shared" si="9"/>
        <v>0.0462675303204215</v>
      </c>
      <c r="AC24" s="2">
        <f t="shared" si="10"/>
        <v>0.0514059184318014</v>
      </c>
      <c r="AD24" s="2">
        <f t="shared" si="11"/>
        <v>23.0000000000005</v>
      </c>
      <c r="AE24" s="2">
        <f t="shared" si="12"/>
        <v>4.54747350886464e-13</v>
      </c>
    </row>
    <row r="25" spans="1:31">
      <c r="A25" s="2">
        <v>21550</v>
      </c>
      <c r="Q25" s="2">
        <v>25.05</v>
      </c>
      <c r="R25" s="4">
        <v>0.3</v>
      </c>
      <c r="S25" s="2">
        <f t="shared" si="0"/>
        <v>0.206597856237381</v>
      </c>
      <c r="T25" s="2">
        <f t="shared" si="1"/>
        <v>0.179844167341869</v>
      </c>
      <c r="U25" s="2">
        <f t="shared" si="2"/>
        <v>0.175238925872226</v>
      </c>
      <c r="V25" s="2">
        <f t="shared" si="3"/>
        <v>0.175081756198315</v>
      </c>
      <c r="W25" s="2">
        <f t="shared" si="4"/>
        <v>0.175081571295604</v>
      </c>
      <c r="X25" s="2">
        <f t="shared" si="5"/>
        <v>0.175081571295347</v>
      </c>
      <c r="Y25" s="2">
        <f t="shared" si="6"/>
        <v>0.175081571295348</v>
      </c>
      <c r="Z25" s="2">
        <f t="shared" si="7"/>
        <v>1.64462256518075</v>
      </c>
      <c r="AA25" s="2">
        <f t="shared" si="8"/>
        <v>1.59408086902199</v>
      </c>
      <c r="AB25" s="2">
        <f t="shared" si="9"/>
        <v>0.0500238352326333</v>
      </c>
      <c r="AC25" s="2">
        <f t="shared" si="10"/>
        <v>0.0554589616127852</v>
      </c>
      <c r="AD25" s="2">
        <f t="shared" si="11"/>
        <v>25.0500000000004</v>
      </c>
      <c r="AE25" s="2">
        <f t="shared" si="12"/>
        <v>4.08562073062058e-13</v>
      </c>
    </row>
    <row r="26" spans="1:31">
      <c r="A26" s="2">
        <v>21600</v>
      </c>
      <c r="B26" s="2">
        <v>1707.4</v>
      </c>
      <c r="C26" s="4">
        <v>0.3</v>
      </c>
      <c r="D26" s="2">
        <f>IFERROR(MEDIAN(0.0001,5,C26-(($B$6*NORMSDIST((LN($B$6/A26)+($B$5+C26^2/2)*$B$4)/(C26*SQRT($B$4)))-A26*EXP(-$B$5*$B$4)*NORMSDIST(((LN($B$6/A26)+($B$5+C26^2/2)*$B$4)/(C26*SQRT($B$4))-C26*SQRT($B$4))))-B26)/($B$6*SQRT($B$4)*NORMDIST((LN($B$6/A26)+($B$5+C26^2/2)*$B$4)/(C26*SQRT($B$4)),0,1,FALSE()))),C26)</f>
        <v>0.146626653378253</v>
      </c>
      <c r="E26" s="2">
        <f>IFERROR(MEDIAN(0.0001,5,D26-(($B$6*NORMSDIST((LN($B$6/A26)+($B$5+D26^2/2)*$B$4)/(D26*SQRT($B$4)))-A26*EXP(-$B$5*$B$4)*NORMSDIST(((LN($B$6/A26)+($B$5+D26^2/2)*$B$4)/(D26*SQRT($B$4))-D26*SQRT($B$4))))-B26)/($B$6*SQRT($B$4)*NORMDIST((LN($B$6/A26)+($B$5+D26^2/2)*$B$4)/(D26*SQRT($B$4)),0,1,FALSE()))),D26)</f>
        <v>0.0001</v>
      </c>
      <c r="F26" s="2">
        <f>IFERROR(MEDIAN(0.0001,5,E26-(($B$6*NORMSDIST((LN($B$6/A26)+($B$5+E26^2/2)*$B$4)/(E26*SQRT($B$4)))-A26*EXP(-$B$5*$B$4)*NORMSDIST(((LN($B$6/A26)+($B$5+E26^2/2)*$B$4)/(E26*SQRT($B$4))-E26*SQRT($B$4))))-B26)/($B$6*SQRT($B$4)*NORMDIST((LN($B$6/A26)+($B$5+E26^2/2)*$B$4)/(E26*SQRT($B$4)),0,1,FALSE()))),E26)</f>
        <v>0.0001</v>
      </c>
      <c r="G26" s="2">
        <f>IFERROR(MEDIAN(0.0001,5,F26-(($B$6*NORMSDIST((LN($B$6/A26)+($B$5+F26^2/2)*$B$4)/(F26*SQRT($B$4)))-A26*EXP(-$B$5*$B$4)*NORMSDIST(((LN($B$6/A26)+($B$5+F26^2/2)*$B$4)/(F26*SQRT($B$4))-F26*SQRT($B$4))))-B26)/($B$6*SQRT($B$4)*NORMDIST((LN($B$6/A26)+($B$5+F26^2/2)*$B$4)/(F26*SQRT($B$4)),0,1,FALSE()))),F26)</f>
        <v>0.0001</v>
      </c>
      <c r="H26" s="2">
        <f>IFERROR(MEDIAN(0.0001,5,G26-(($B$6*NORMSDIST((LN($B$6/A26)+($B$5+G26^2/2)*$B$4)/(G26*SQRT($B$4)))-A26*EXP(-$B$5*$B$4)*NORMSDIST(((LN($B$6/A26)+($B$5+G26^2/2)*$B$4)/(G26*SQRT($B$4))-G26*SQRT($B$4))))-B26)/($B$6*SQRT($B$4)*NORMDIST((LN($B$6/A26)+($B$5+G26^2/2)*$B$4)/(G26*SQRT($B$4)),0,1,FALSE()))),G26)</f>
        <v>0.0001</v>
      </c>
      <c r="I26" s="2">
        <f>IFERROR(MEDIAN(0.0001,5,H26-(($B$6*NORMSDIST((LN($B$6/A26)+($B$5+H26^2/2)*$B$4)/(H26*SQRT($B$4)))-A26*EXP(-$B$5*$B$4)*NORMSDIST(((LN($B$6/A26)+($B$5+H26^2/2)*$B$4)/(H26*SQRT($B$4))-H26*SQRT($B$4))))-B26)/($B$6*SQRT($B$4)*NORMDIST((LN($B$6/A26)+($B$5+H26^2/2)*$B$4)/(H26*SQRT($B$4)),0,1,FALSE()))),H26)</f>
        <v>0.0001</v>
      </c>
      <c r="J26" s="2">
        <f>IFERROR(MEDIAN(0.0001,5,I26-(($B$6*NORMSDIST((LN($B$6/A26)+($B$5+I26^2/2)*$B$4)/(I26*SQRT($B$4)))-A26*EXP(-$B$5*$B$4)*NORMSDIST(((LN($B$6/A26)+($B$5+I26^2/2)*$B$4)/(I26*SQRT($B$4))-I26*SQRT($B$4))))-B26)/($B$6*SQRT($B$4)*NORMDIST((LN($B$6/A26)+($B$5+I26^2/2)*$B$4)/(I26*SQRT($B$4)),0,1,FALSE()))),I26)</f>
        <v>0.0001</v>
      </c>
      <c r="K26" s="2">
        <f>(LN($B$6/A26)+($B$5+J26^2/2)*$B$4)/(J26*SQRT($B$4))</f>
        <v>2754.90595502195</v>
      </c>
      <c r="L26" s="2">
        <f>K26-J26*SQRT($B$4)</f>
        <v>2754.90592615444</v>
      </c>
      <c r="M26" s="2">
        <f>NORMSDIST(K26)</f>
        <v>1</v>
      </c>
      <c r="N26" s="2">
        <f>NORMSDIST(L26)</f>
        <v>1</v>
      </c>
      <c r="O26" s="2">
        <f>$B$6*M26-A26*EXP(-$B$5*$B$4)*N26</f>
        <v>1778.28369636149</v>
      </c>
      <c r="P26" s="2">
        <f>O26-B26</f>
        <v>70.8836963614863</v>
      </c>
      <c r="Q26" s="2">
        <v>28.55</v>
      </c>
      <c r="R26" s="4">
        <v>0.3</v>
      </c>
      <c r="S26" s="2">
        <f t="shared" si="0"/>
        <v>0.205560724774427</v>
      </c>
      <c r="T26" s="2">
        <f t="shared" si="1"/>
        <v>0.179950132893814</v>
      </c>
      <c r="U26" s="2">
        <f t="shared" si="2"/>
        <v>0.176003339806426</v>
      </c>
      <c r="V26" s="2">
        <f t="shared" si="3"/>
        <v>0.17589589501307</v>
      </c>
      <c r="W26" s="2">
        <f t="shared" si="4"/>
        <v>0.175895814553844</v>
      </c>
      <c r="X26" s="2">
        <f t="shared" si="5"/>
        <v>0.1758958145538</v>
      </c>
      <c r="Y26" s="2">
        <f t="shared" si="6"/>
        <v>0.1758958145538</v>
      </c>
      <c r="Z26" s="2">
        <f t="shared" si="7"/>
        <v>1.5916029809392</v>
      </c>
      <c r="AA26" s="2">
        <f t="shared" si="8"/>
        <v>1.54082623299821</v>
      </c>
      <c r="AB26" s="2">
        <f t="shared" si="9"/>
        <v>0.0557369699373993</v>
      </c>
      <c r="AC26" s="2">
        <f t="shared" si="10"/>
        <v>0.0616795415180563</v>
      </c>
      <c r="AD26" s="2">
        <f t="shared" si="11"/>
        <v>28.5500000000002</v>
      </c>
      <c r="AE26" s="2">
        <f t="shared" si="12"/>
        <v>1.81188397618826e-13</v>
      </c>
    </row>
    <row r="27" spans="1:31">
      <c r="A27" s="2">
        <v>21650</v>
      </c>
      <c r="Q27" s="2">
        <v>32.9</v>
      </c>
      <c r="R27" s="4">
        <v>0.3</v>
      </c>
      <c r="S27" s="2">
        <f t="shared" si="0"/>
        <v>0.204847353754764</v>
      </c>
      <c r="T27" s="2">
        <f t="shared" si="1"/>
        <v>0.180628121518637</v>
      </c>
      <c r="U27" s="2">
        <f t="shared" si="2"/>
        <v>0.177358913421524</v>
      </c>
      <c r="V27" s="2">
        <f t="shared" si="3"/>
        <v>0.177291033632862</v>
      </c>
      <c r="W27" s="2">
        <f t="shared" si="4"/>
        <v>0.177291004068303</v>
      </c>
      <c r="X27" s="2">
        <f t="shared" si="5"/>
        <v>0.177291004068297</v>
      </c>
      <c r="Y27" s="2">
        <f t="shared" si="6"/>
        <v>0.177291004068297</v>
      </c>
      <c r="Z27" s="2">
        <f t="shared" si="7"/>
        <v>1.53430198719776</v>
      </c>
      <c r="AA27" s="2">
        <f t="shared" si="8"/>
        <v>1.48312248273589</v>
      </c>
      <c r="AB27" s="2">
        <f t="shared" si="9"/>
        <v>0.0624776885485114</v>
      </c>
      <c r="AC27" s="2">
        <f t="shared" si="10"/>
        <v>0.0690209358194858</v>
      </c>
      <c r="AD27" s="2">
        <f t="shared" si="11"/>
        <v>32.8999999999996</v>
      </c>
      <c r="AE27" s="2">
        <f t="shared" si="12"/>
        <v>-3.62376795237651e-13</v>
      </c>
    </row>
    <row r="28" spans="1:31">
      <c r="A28" s="2">
        <v>21700</v>
      </c>
      <c r="B28" s="2">
        <v>1560</v>
      </c>
      <c r="C28" s="4">
        <v>0.3</v>
      </c>
      <c r="D28" s="2">
        <f>IFERROR(MEDIAN(0.0001,5,C28-(($B$6*NORMSDIST((LN($B$6/A28)+($B$5+C28^2/2)*$B$4)/(C28*SQRT($B$4)))-A28*EXP(-$B$5*$B$4)*NORMSDIST(((LN($B$6/A28)+($B$5+C28^2/2)*$B$4)/(C28*SQRT($B$4))-C28*SQRT($B$4))))-B28)/($B$6*SQRT($B$4)*NORMDIST((LN($B$6/A28)+($B$5+C28^2/2)*$B$4)/(C28*SQRT($B$4)),0,1,FALSE()))),C28)</f>
        <v>0.115941894936655</v>
      </c>
      <c r="E28" s="2">
        <f>IFERROR(MEDIAN(0.0001,5,D28-(($B$6*NORMSDIST((LN($B$6/A28)+($B$5+D28^2/2)*$B$4)/(D28*SQRT($B$4)))-A28*EXP(-$B$5*$B$4)*NORMSDIST(((LN($B$6/A28)+($B$5+D28^2/2)*$B$4)/(D28*SQRT($B$4))-D28*SQRT($B$4))))-B28)/($B$6*SQRT($B$4)*NORMDIST((LN($B$6/A28)+($B$5+D28^2/2)*$B$4)/(D28*SQRT($B$4)),0,1,FALSE()))),D28)</f>
        <v>0.0001</v>
      </c>
      <c r="F28" s="2">
        <f>IFERROR(MEDIAN(0.0001,5,E28-(($B$6*NORMSDIST((LN($B$6/A28)+($B$5+E28^2/2)*$B$4)/(E28*SQRT($B$4)))-A28*EXP(-$B$5*$B$4)*NORMSDIST(((LN($B$6/A28)+($B$5+E28^2/2)*$B$4)/(E28*SQRT($B$4))-E28*SQRT($B$4))))-B28)/($B$6*SQRT($B$4)*NORMDIST((LN($B$6/A28)+($B$5+E28^2/2)*$B$4)/(E28*SQRT($B$4)),0,1,FALSE()))),E28)</f>
        <v>0.0001</v>
      </c>
      <c r="G28" s="2">
        <f>IFERROR(MEDIAN(0.0001,5,F28-(($B$6*NORMSDIST((LN($B$6/A28)+($B$5+F28^2/2)*$B$4)/(F28*SQRT($B$4)))-A28*EXP(-$B$5*$B$4)*NORMSDIST(((LN($B$6/A28)+($B$5+F28^2/2)*$B$4)/(F28*SQRT($B$4))-F28*SQRT($B$4))))-B28)/($B$6*SQRT($B$4)*NORMDIST((LN($B$6/A28)+($B$5+F28^2/2)*$B$4)/(F28*SQRT($B$4)),0,1,FALSE()))),F28)</f>
        <v>0.0001</v>
      </c>
      <c r="H28" s="2">
        <f>IFERROR(MEDIAN(0.0001,5,G28-(($B$6*NORMSDIST((LN($B$6/A28)+($B$5+G28^2/2)*$B$4)/(G28*SQRT($B$4)))-A28*EXP(-$B$5*$B$4)*NORMSDIST(((LN($B$6/A28)+($B$5+G28^2/2)*$B$4)/(G28*SQRT($B$4))-G28*SQRT($B$4))))-B28)/($B$6*SQRT($B$4)*NORMDIST((LN($B$6/A28)+($B$5+G28^2/2)*$B$4)/(G28*SQRT($B$4)),0,1,FALSE()))),G28)</f>
        <v>0.0001</v>
      </c>
      <c r="I28" s="2">
        <f>IFERROR(MEDIAN(0.0001,5,H28-(($B$6*NORMSDIST((LN($B$6/A28)+($B$5+H28^2/2)*$B$4)/(H28*SQRT($B$4)))-A28*EXP(-$B$5*$B$4)*NORMSDIST(((LN($B$6/A28)+($B$5+H28^2/2)*$B$4)/(H28*SQRT($B$4))-H28*SQRT($B$4))))-B28)/($B$6*SQRT($B$4)*NORMDIST((LN($B$6/A28)+($B$5+H28^2/2)*$B$4)/(H28*SQRT($B$4)),0,1,FALSE()))),H28)</f>
        <v>0.0001</v>
      </c>
      <c r="J28" s="2">
        <f>IFERROR(MEDIAN(0.0001,5,I28-(($B$6*NORMSDIST((LN($B$6/A28)+($B$5+I28^2/2)*$B$4)/(I28*SQRT($B$4)))-A28*EXP(-$B$5*$B$4)*NORMSDIST(((LN($B$6/A28)+($B$5+I28^2/2)*$B$4)/(I28*SQRT($B$4))-I28*SQRT($B$4))))-B28)/($B$6*SQRT($B$4)*NORMDIST((LN($B$6/A28)+($B$5+I28^2/2)*$B$4)/(I28*SQRT($B$4)),0,1,FALSE()))),I28)</f>
        <v>0.0001</v>
      </c>
      <c r="K28" s="2">
        <f>(LN($B$6/A28)+($B$5+J28^2/2)*$B$4)/(J28*SQRT($B$4))</f>
        <v>2594.90097701171</v>
      </c>
      <c r="L28" s="2">
        <f>K28-J28*SQRT($B$4)</f>
        <v>2594.9009481442</v>
      </c>
      <c r="M28" s="2">
        <f>NORMSDIST(K28)</f>
        <v>1</v>
      </c>
      <c r="N28" s="2">
        <f>NORMSDIST(L28)</f>
        <v>1</v>
      </c>
      <c r="O28" s="2">
        <f>$B$6*M28-A28*EXP(-$B$5*$B$4)*N28</f>
        <v>1678.82389865946</v>
      </c>
      <c r="P28" s="2">
        <f>O28-B28</f>
        <v>118.823898659455</v>
      </c>
      <c r="Q28" s="2">
        <v>32.6</v>
      </c>
      <c r="R28" s="4">
        <v>0.3</v>
      </c>
      <c r="S28" s="2">
        <f t="shared" si="0"/>
        <v>0.201324869463552</v>
      </c>
      <c r="T28" s="2">
        <f t="shared" si="1"/>
        <v>0.17634196213078</v>
      </c>
      <c r="U28" s="2">
        <f t="shared" si="2"/>
        <v>0.172850175425192</v>
      </c>
      <c r="V28" s="2">
        <f t="shared" si="3"/>
        <v>0.17277153537151</v>
      </c>
      <c r="W28" s="2">
        <f t="shared" si="4"/>
        <v>0.172771495019565</v>
      </c>
      <c r="X28" s="2">
        <f t="shared" si="5"/>
        <v>0.172771495019555</v>
      </c>
      <c r="Y28" s="2">
        <f t="shared" si="6"/>
        <v>0.172771495019555</v>
      </c>
      <c r="Z28" s="2">
        <f t="shared" si="7"/>
        <v>1.52686397194725</v>
      </c>
      <c r="AA28" s="2">
        <f t="shared" si="8"/>
        <v>1.47698913736833</v>
      </c>
      <c r="AB28" s="2">
        <f t="shared" si="9"/>
        <v>0.0633974200286731</v>
      </c>
      <c r="AC28" s="2">
        <f t="shared" si="10"/>
        <v>0.0698392745521444</v>
      </c>
      <c r="AD28" s="2">
        <f t="shared" si="11"/>
        <v>32.6000000000006</v>
      </c>
      <c r="AE28" s="2">
        <f t="shared" si="12"/>
        <v>5.89750470680883e-13</v>
      </c>
    </row>
    <row r="29" spans="1:31">
      <c r="A29" s="2">
        <v>21750</v>
      </c>
      <c r="Q29" s="2">
        <v>33.85</v>
      </c>
      <c r="R29" s="4">
        <v>0.3</v>
      </c>
      <c r="S29" s="2">
        <f t="shared" si="0"/>
        <v>0.198597366737709</v>
      </c>
      <c r="T29" s="2">
        <f t="shared" si="1"/>
        <v>0.173569460631475</v>
      </c>
      <c r="U29" s="2">
        <f t="shared" si="2"/>
        <v>0.17014153595437</v>
      </c>
      <c r="V29" s="2">
        <f t="shared" si="3"/>
        <v>0.170066941396491</v>
      </c>
      <c r="W29" s="2">
        <f t="shared" si="4"/>
        <v>0.170066905633177</v>
      </c>
      <c r="X29" s="2">
        <f t="shared" si="5"/>
        <v>0.170066905633169</v>
      </c>
      <c r="Y29" s="2">
        <f t="shared" si="6"/>
        <v>0.170066905633169</v>
      </c>
      <c r="Z29" s="2">
        <f t="shared" si="7"/>
        <v>1.50347956053684</v>
      </c>
      <c r="AA29" s="2">
        <f t="shared" si="8"/>
        <v>1.45438547366307</v>
      </c>
      <c r="AB29" s="2">
        <f t="shared" si="9"/>
        <v>0.0663577119018499</v>
      </c>
      <c r="AC29" s="2">
        <f t="shared" si="10"/>
        <v>0.0729197325155996</v>
      </c>
      <c r="AD29" s="2">
        <f t="shared" si="11"/>
        <v>33.8500000000008</v>
      </c>
      <c r="AE29" s="2">
        <f t="shared" si="12"/>
        <v>8.17124146124115e-13</v>
      </c>
    </row>
    <row r="30" spans="1:31">
      <c r="A30" s="2">
        <v>21800</v>
      </c>
      <c r="B30" s="2">
        <v>1600</v>
      </c>
      <c r="C30" s="4">
        <v>0.3</v>
      </c>
      <c r="D30" s="2">
        <f>IFERROR(MEDIAN(0.0001,5,C30-(($B$6*NORMSDIST((LN($B$6/A30)+($B$5+C30^2/2)*$B$4)/(C30*SQRT($B$4)))-A30*EXP(-$B$5*$B$4)*NORMSDIST(((LN($B$6/A30)+($B$5+C30^2/2)*$B$4)/(C30*SQRT($B$4))-C30*SQRT($B$4))))-B30)/($B$6*SQRT($B$4)*NORMDIST((LN($B$6/A30)+($B$5+C30^2/2)*$B$4)/(C30*SQRT($B$4)),0,1,FALSE()))),C30)</f>
        <v>0.187984299715532</v>
      </c>
      <c r="E30" s="2">
        <f>IFERROR(MEDIAN(0.0001,5,D30-(($B$6*NORMSDIST((LN($B$6/A30)+($B$5+D30^2/2)*$B$4)/(D30*SQRT($B$4)))-A30*EXP(-$B$5*$B$4)*NORMSDIST(((LN($B$6/A30)+($B$5+D30^2/2)*$B$4)/(D30*SQRT($B$4))-D30*SQRT($B$4))))-B30)/($B$6*SQRT($B$4)*NORMDIST((LN($B$6/A30)+($B$5+D30^2/2)*$B$4)/(D30*SQRT($B$4)),0,1,FALSE()))),D30)</f>
        <v>0.15633328846812</v>
      </c>
      <c r="F30" s="2">
        <f>IFERROR(MEDIAN(0.0001,5,E30-(($B$6*NORMSDIST((LN($B$6/A30)+($B$5+E30^2/2)*$B$4)/(E30*SQRT($B$4)))-A30*EXP(-$B$5*$B$4)*NORMSDIST(((LN($B$6/A30)+($B$5+E30^2/2)*$B$4)/(E30*SQRT($B$4))-E30*SQRT($B$4))))-B30)/($B$6*SQRT($B$4)*NORMDIST((LN($B$6/A30)+($B$5+E30^2/2)*$B$4)/(E30*SQRT($B$4)),0,1,FALSE()))),E30)</f>
        <v>0.149367919215296</v>
      </c>
      <c r="G30" s="2">
        <f>IFERROR(MEDIAN(0.0001,5,F30-(($B$6*NORMSDIST((LN($B$6/A30)+($B$5+F30^2/2)*$B$4)/(F30*SQRT($B$4)))-A30*EXP(-$B$5*$B$4)*NORMSDIST(((LN($B$6/A30)+($B$5+F30^2/2)*$B$4)/(F30*SQRT($B$4))-F30*SQRT($B$4))))-B30)/($B$6*SQRT($B$4)*NORMDIST((LN($B$6/A30)+($B$5+F30^2/2)*$B$4)/(F30*SQRT($B$4)),0,1,FALSE()))),F30)</f>
        <v>0.148941815343088</v>
      </c>
      <c r="H30" s="2">
        <f>IFERROR(MEDIAN(0.0001,5,G30-(($B$6*NORMSDIST((LN($B$6/A30)+($B$5+G30^2/2)*$B$4)/(G30*SQRT($B$4)))-A30*EXP(-$B$5*$B$4)*NORMSDIST(((LN($B$6/A30)+($B$5+G30^2/2)*$B$4)/(G30*SQRT($B$4))-G30*SQRT($B$4))))-B30)/($B$6*SQRT($B$4)*NORMDIST((LN($B$6/A30)+($B$5+G30^2/2)*$B$4)/(G30*SQRT($B$4)),0,1,FALSE()))),G30)</f>
        <v>0.148940186707514</v>
      </c>
      <c r="I30" s="2">
        <f>IFERROR(MEDIAN(0.0001,5,H30-(($B$6*NORMSDIST((LN($B$6/A30)+($B$5+H30^2/2)*$B$4)/(H30*SQRT($B$4)))-A30*EXP(-$B$5*$B$4)*NORMSDIST(((LN($B$6/A30)+($B$5+H30^2/2)*$B$4)/(H30*SQRT($B$4))-H30*SQRT($B$4))))-B30)/($B$6*SQRT($B$4)*NORMDIST((LN($B$6/A30)+($B$5+H30^2/2)*$B$4)/(H30*SQRT($B$4)),0,1,FALSE()))),H30)</f>
        <v>0.148940186683716</v>
      </c>
      <c r="J30" s="2">
        <f>IFERROR(MEDIAN(0.0001,5,I30-(($B$6*NORMSDIST((LN($B$6/A30)+($B$5+I30^2/2)*$B$4)/(I30*SQRT($B$4)))-A30*EXP(-$B$5*$B$4)*NORMSDIST(((LN($B$6/A30)+($B$5+I30^2/2)*$B$4)/(I30*SQRT($B$4))-I30*SQRT($B$4))))-B30)/($B$6*SQRT($B$4)*NORMDIST((LN($B$6/A30)+($B$5+I30^2/2)*$B$4)/(I30*SQRT($B$4)),0,1,FALSE()))),I30)</f>
        <v>0.14894018668371</v>
      </c>
      <c r="K30" s="2">
        <f>(LN($B$6/A30)+($B$5+J30^2/2)*$B$4)/(J30*SQRT($B$4))</f>
        <v>1.65680623772629</v>
      </c>
      <c r="L30" s="2">
        <f>K30-J30*SQRT($B$4)</f>
        <v>1.61381090928879</v>
      </c>
      <c r="M30" s="2">
        <f>NORMSDIST(K30)</f>
        <v>0.951220672251935</v>
      </c>
      <c r="N30" s="2">
        <f>NORMSDIST(L30)</f>
        <v>0.946715776234222</v>
      </c>
      <c r="O30" s="2">
        <f>$B$6*M30-A30*EXP(-$B$5*$B$4)*N30</f>
        <v>1600</v>
      </c>
      <c r="P30" s="2">
        <f>O30-B30</f>
        <v>3.63797880709171e-12</v>
      </c>
      <c r="Q30" s="2">
        <v>35.85</v>
      </c>
      <c r="R30" s="4">
        <v>0.3</v>
      </c>
      <c r="S30" s="2">
        <f t="shared" si="0"/>
        <v>0.196170711973201</v>
      </c>
      <c r="T30" s="2">
        <f t="shared" si="1"/>
        <v>0.171418634066854</v>
      </c>
      <c r="U30" s="2">
        <f t="shared" si="2"/>
        <v>0.168176750599336</v>
      </c>
      <c r="V30" s="2">
        <f t="shared" si="3"/>
        <v>0.168112007103289</v>
      </c>
      <c r="W30" s="2">
        <f t="shared" si="4"/>
        <v>0.168111980947563</v>
      </c>
      <c r="X30" s="2">
        <f t="shared" si="5"/>
        <v>0.168111980947558</v>
      </c>
      <c r="Y30" s="2">
        <f t="shared" si="6"/>
        <v>0.168111980947558</v>
      </c>
      <c r="Z30" s="2">
        <f t="shared" si="7"/>
        <v>1.47307990141184</v>
      </c>
      <c r="AA30" s="2">
        <f t="shared" si="8"/>
        <v>1.42455015268481</v>
      </c>
      <c r="AB30" s="2">
        <f t="shared" si="9"/>
        <v>0.0703647460890862</v>
      </c>
      <c r="AC30" s="2">
        <f t="shared" si="10"/>
        <v>0.0771436389408413</v>
      </c>
      <c r="AD30" s="2">
        <f t="shared" si="11"/>
        <v>35.8499999999997</v>
      </c>
      <c r="AE30" s="2">
        <f t="shared" si="12"/>
        <v>-3.19744231092045e-13</v>
      </c>
    </row>
    <row r="31" spans="1:31">
      <c r="A31" s="2">
        <v>21850</v>
      </c>
      <c r="Q31" s="2">
        <v>39.3</v>
      </c>
      <c r="R31" s="4">
        <v>0.3</v>
      </c>
      <c r="S31" s="2">
        <f t="shared" si="0"/>
        <v>0.194384373039371</v>
      </c>
      <c r="T31" s="2">
        <f t="shared" si="1"/>
        <v>0.170450165813077</v>
      </c>
      <c r="U31" s="2">
        <f t="shared" si="2"/>
        <v>0.167580295445273</v>
      </c>
      <c r="V31" s="2">
        <f t="shared" si="3"/>
        <v>0.167532302280515</v>
      </c>
      <c r="W31" s="2">
        <f t="shared" si="4"/>
        <v>0.167532288688929</v>
      </c>
      <c r="X31" s="2">
        <f t="shared" si="5"/>
        <v>0.167532288688928</v>
      </c>
      <c r="Y31" s="2">
        <f t="shared" si="6"/>
        <v>0.167532288688927</v>
      </c>
      <c r="Z31" s="2">
        <f t="shared" si="7"/>
        <v>1.43063888599982</v>
      </c>
      <c r="AA31" s="2">
        <f t="shared" si="8"/>
        <v>1.38227648001357</v>
      </c>
      <c r="AB31" s="2">
        <f t="shared" si="9"/>
        <v>0.0762668683631059</v>
      </c>
      <c r="AC31" s="2">
        <f t="shared" si="10"/>
        <v>0.0834434124358409</v>
      </c>
      <c r="AD31" s="2">
        <f t="shared" si="11"/>
        <v>39.299999999999</v>
      </c>
      <c r="AE31" s="2">
        <f t="shared" si="12"/>
        <v>-9.52127265918534e-13</v>
      </c>
    </row>
    <row r="32" spans="1:31">
      <c r="A32" s="2">
        <v>21900</v>
      </c>
      <c r="B32" s="2">
        <v>1380</v>
      </c>
      <c r="C32" s="4">
        <v>0.3</v>
      </c>
      <c r="D32" s="2">
        <f>IFERROR(MEDIAN(0.0001,5,C32-(($B$6*NORMSDIST((LN($B$6/A32)+($B$5+C32^2/2)*$B$4)/(C32*SQRT($B$4)))-A32*EXP(-$B$5*$B$4)*NORMSDIST(((LN($B$6/A32)+($B$5+C32^2/2)*$B$4)/(C32*SQRT($B$4))-C32*SQRT($B$4))))-B32)/($B$6*SQRT($B$4)*NORMDIST((LN($B$6/A32)+($B$5+C32^2/2)*$B$4)/(C32*SQRT($B$4)),0,1,FALSE()))),C32)</f>
        <v>0.118971582625359</v>
      </c>
      <c r="E32" s="2">
        <f>IFERROR(MEDIAN(0.0001,5,D32-(($B$6*NORMSDIST((LN($B$6/A32)+($B$5+D32^2/2)*$B$4)/(D32*SQRT($B$4)))-A32*EXP(-$B$5*$B$4)*NORMSDIST(((LN($B$6/A32)+($B$5+D32^2/2)*$B$4)/(D32*SQRT($B$4))-D32*SQRT($B$4))))-B32)/($B$6*SQRT($B$4)*NORMDIST((LN($B$6/A32)+($B$5+D32^2/2)*$B$4)/(D32*SQRT($B$4)),0,1,FALSE()))),D32)</f>
        <v>0.0001</v>
      </c>
      <c r="F32" s="2">
        <f>IFERROR(MEDIAN(0.0001,5,E32-(($B$6*NORMSDIST((LN($B$6/A32)+($B$5+E32^2/2)*$B$4)/(E32*SQRT($B$4)))-A32*EXP(-$B$5*$B$4)*NORMSDIST(((LN($B$6/A32)+($B$5+E32^2/2)*$B$4)/(E32*SQRT($B$4))-E32*SQRT($B$4))))-B32)/($B$6*SQRT($B$4)*NORMDIST((LN($B$6/A32)+($B$5+E32^2/2)*$B$4)/(E32*SQRT($B$4)),0,1,FALSE()))),E32)</f>
        <v>0.0001</v>
      </c>
      <c r="G32" s="2">
        <f>IFERROR(MEDIAN(0.0001,5,F32-(($B$6*NORMSDIST((LN($B$6/A32)+($B$5+F32^2/2)*$B$4)/(F32*SQRT($B$4)))-A32*EXP(-$B$5*$B$4)*NORMSDIST(((LN($B$6/A32)+($B$5+F32^2/2)*$B$4)/(F32*SQRT($B$4))-F32*SQRT($B$4))))-B32)/($B$6*SQRT($B$4)*NORMDIST((LN($B$6/A32)+($B$5+F32^2/2)*$B$4)/(F32*SQRT($B$4)),0,1,FALSE()))),F32)</f>
        <v>0.0001</v>
      </c>
      <c r="H32" s="2">
        <f>IFERROR(MEDIAN(0.0001,5,G32-(($B$6*NORMSDIST((LN($B$6/A32)+($B$5+G32^2/2)*$B$4)/(G32*SQRT($B$4)))-A32*EXP(-$B$5*$B$4)*NORMSDIST(((LN($B$6/A32)+($B$5+G32^2/2)*$B$4)/(G32*SQRT($B$4))-G32*SQRT($B$4))))-B32)/($B$6*SQRT($B$4)*NORMDIST((LN($B$6/A32)+($B$5+G32^2/2)*$B$4)/(G32*SQRT($B$4)),0,1,FALSE()))),G32)</f>
        <v>0.0001</v>
      </c>
      <c r="I32" s="2">
        <f>IFERROR(MEDIAN(0.0001,5,H32-(($B$6*NORMSDIST((LN($B$6/A32)+($B$5+H32^2/2)*$B$4)/(H32*SQRT($B$4)))-A32*EXP(-$B$5*$B$4)*NORMSDIST(((LN($B$6/A32)+($B$5+H32^2/2)*$B$4)/(H32*SQRT($B$4))-H32*SQRT($B$4))))-B32)/($B$6*SQRT($B$4)*NORMDIST((LN($B$6/A32)+($B$5+H32^2/2)*$B$4)/(H32*SQRT($B$4)),0,1,FALSE()))),H32)</f>
        <v>0.0001</v>
      </c>
      <c r="J32" s="2">
        <f>IFERROR(MEDIAN(0.0001,5,I32-(($B$6*NORMSDIST((LN($B$6/A32)+($B$5+I32^2/2)*$B$4)/(I32*SQRT($B$4)))-A32*EXP(-$B$5*$B$4)*NORMSDIST(((LN($B$6/A32)+($B$5+I32^2/2)*$B$4)/(I32*SQRT($B$4))-I32*SQRT($B$4))))-B32)/($B$6*SQRT($B$4)*NORMDIST((LN($B$6/A32)+($B$5+I32^2/2)*$B$4)/(I32*SQRT($B$4)),0,1,FALSE()))),I32)</f>
        <v>0.0001</v>
      </c>
      <c r="K32" s="2">
        <f>(LN($B$6/A32)+($B$5+J32^2/2)*$B$4)/(J32*SQRT($B$4))</f>
        <v>2277.09126025455</v>
      </c>
      <c r="L32" s="2">
        <f>K32-J32*SQRT($B$4)</f>
        <v>2277.09123138704</v>
      </c>
      <c r="M32" s="2">
        <f>NORMSDIST(K32)</f>
        <v>1</v>
      </c>
      <c r="N32" s="2">
        <f>NORMSDIST(L32)</f>
        <v>1</v>
      </c>
      <c r="O32" s="2">
        <f>$B$6*M32-A32*EXP(-$B$5*$B$4)*N32</f>
        <v>1479.9043032554</v>
      </c>
      <c r="P32" s="2">
        <f>O32-B32</f>
        <v>99.9043032553964</v>
      </c>
      <c r="Q32" s="2">
        <v>41.7</v>
      </c>
      <c r="R32" s="4">
        <v>0.3</v>
      </c>
      <c r="S32" s="2">
        <f t="shared" si="0"/>
        <v>0.191901034669897</v>
      </c>
      <c r="T32" s="2">
        <f t="shared" si="1"/>
        <v>0.168350282730935</v>
      </c>
      <c r="U32" s="2">
        <f t="shared" si="2"/>
        <v>0.165673100435899</v>
      </c>
      <c r="V32" s="2">
        <f t="shared" si="3"/>
        <v>0.165632742976215</v>
      </c>
      <c r="W32" s="2">
        <f t="shared" si="4"/>
        <v>0.165632733688046</v>
      </c>
      <c r="X32" s="2">
        <f t="shared" si="5"/>
        <v>0.165632733688046</v>
      </c>
      <c r="Y32" s="2">
        <f t="shared" si="6"/>
        <v>0.165632733688044</v>
      </c>
      <c r="Z32" s="2">
        <f t="shared" si="7"/>
        <v>1.39869037640547</v>
      </c>
      <c r="AA32" s="2">
        <f t="shared" si="8"/>
        <v>1.35087632471476</v>
      </c>
      <c r="AB32" s="2">
        <f t="shared" si="9"/>
        <v>0.0809529256690669</v>
      </c>
      <c r="AC32" s="2">
        <f t="shared" si="10"/>
        <v>0.0883675266857775</v>
      </c>
      <c r="AD32" s="2">
        <f t="shared" si="11"/>
        <v>41.6999999999989</v>
      </c>
      <c r="AE32" s="2">
        <f t="shared" si="12"/>
        <v>-1.09423581307055e-12</v>
      </c>
    </row>
    <row r="33" spans="1:31">
      <c r="A33" s="2">
        <v>21950</v>
      </c>
      <c r="Q33" s="2">
        <v>43</v>
      </c>
      <c r="R33" s="4">
        <v>0.3</v>
      </c>
      <c r="S33" s="2">
        <f t="shared" si="0"/>
        <v>0.18873015703778</v>
      </c>
      <c r="T33" s="2">
        <f t="shared" si="1"/>
        <v>0.165182860236105</v>
      </c>
      <c r="U33" s="2">
        <f t="shared" si="2"/>
        <v>0.162561391818393</v>
      </c>
      <c r="V33" s="2">
        <f t="shared" si="3"/>
        <v>0.162523247875509</v>
      </c>
      <c r="W33" s="2">
        <f t="shared" si="4"/>
        <v>0.162523239691688</v>
      </c>
      <c r="X33" s="2">
        <f t="shared" si="5"/>
        <v>0.162523239691687</v>
      </c>
      <c r="Y33" s="2">
        <f t="shared" si="6"/>
        <v>0.162523239691687</v>
      </c>
      <c r="Z33" s="2">
        <f t="shared" si="7"/>
        <v>1.37593698018759</v>
      </c>
      <c r="AA33" s="2">
        <f t="shared" si="8"/>
        <v>1.32902056209481</v>
      </c>
      <c r="AB33" s="2">
        <f t="shared" si="9"/>
        <v>0.0844205724728505</v>
      </c>
      <c r="AC33" s="2">
        <f t="shared" si="10"/>
        <v>0.0919205930848288</v>
      </c>
      <c r="AD33" s="2">
        <f t="shared" si="11"/>
        <v>43.0000000000002</v>
      </c>
      <c r="AE33" s="2">
        <f t="shared" si="12"/>
        <v>2.27373675443232e-13</v>
      </c>
    </row>
    <row r="34" spans="1:31">
      <c r="A34" s="2">
        <v>22000</v>
      </c>
      <c r="B34" s="2">
        <v>1286.45</v>
      </c>
      <c r="C34" s="4">
        <v>0.3</v>
      </c>
      <c r="D34" s="2">
        <f>IFERROR(MEDIAN(0.0001,5,C34-(($B$6*NORMSDIST((LN($B$6/A34)+($B$5+C34^2/2)*$B$4)/(C34*SQRT($B$4)))-A34*EXP(-$B$5*$B$4)*NORMSDIST(((LN($B$6/A34)+($B$5+C34^2/2)*$B$4)/(C34*SQRT($B$4))-C34*SQRT($B$4))))-B34)/($B$6*SQRT($B$4)*NORMDIST((LN($B$6/A34)+($B$5+C34^2/2)*$B$4)/(C34*SQRT($B$4)),0,1,FALSE()))),C34)</f>
        <v>0.117071892907023</v>
      </c>
      <c r="E34" s="2">
        <f>IFERROR(MEDIAN(0.0001,5,D34-(($B$6*NORMSDIST((LN($B$6/A34)+($B$5+D34^2/2)*$B$4)/(D34*SQRT($B$4)))-A34*EXP(-$B$5*$B$4)*NORMSDIST(((LN($B$6/A34)+($B$5+D34^2/2)*$B$4)/(D34*SQRT($B$4))-D34*SQRT($B$4))))-B34)/($B$6*SQRT($B$4)*NORMDIST((LN($B$6/A34)+($B$5+D34^2/2)*$B$4)/(D34*SQRT($B$4)),0,1,FALSE()))),D34)</f>
        <v>0.0001</v>
      </c>
      <c r="F34" s="2">
        <f>IFERROR(MEDIAN(0.0001,5,E34-(($B$6*NORMSDIST((LN($B$6/A34)+($B$5+E34^2/2)*$B$4)/(E34*SQRT($B$4)))-A34*EXP(-$B$5*$B$4)*NORMSDIST(((LN($B$6/A34)+($B$5+E34^2/2)*$B$4)/(E34*SQRT($B$4))-E34*SQRT($B$4))))-B34)/($B$6*SQRT($B$4)*NORMDIST((LN($B$6/A34)+($B$5+E34^2/2)*$B$4)/(E34*SQRT($B$4)),0,1,FALSE()))),E34)</f>
        <v>0.0001</v>
      </c>
      <c r="G34" s="2">
        <f>IFERROR(MEDIAN(0.0001,5,F34-(($B$6*NORMSDIST((LN($B$6/A34)+($B$5+F34^2/2)*$B$4)/(F34*SQRT($B$4)))-A34*EXP(-$B$5*$B$4)*NORMSDIST(((LN($B$6/A34)+($B$5+F34^2/2)*$B$4)/(F34*SQRT($B$4))-F34*SQRT($B$4))))-B34)/($B$6*SQRT($B$4)*NORMDIST((LN($B$6/A34)+($B$5+F34^2/2)*$B$4)/(F34*SQRT($B$4)),0,1,FALSE()))),F34)</f>
        <v>0.0001</v>
      </c>
      <c r="H34" s="2">
        <f>IFERROR(MEDIAN(0.0001,5,G34-(($B$6*NORMSDIST((LN($B$6/A34)+($B$5+G34^2/2)*$B$4)/(G34*SQRT($B$4)))-A34*EXP(-$B$5*$B$4)*NORMSDIST(((LN($B$6/A34)+($B$5+G34^2/2)*$B$4)/(G34*SQRT($B$4))-G34*SQRT($B$4))))-B34)/($B$6*SQRT($B$4)*NORMDIST((LN($B$6/A34)+($B$5+G34^2/2)*$B$4)/(G34*SQRT($B$4)),0,1,FALSE()))),G34)</f>
        <v>0.0001</v>
      </c>
      <c r="I34" s="2">
        <f>IFERROR(MEDIAN(0.0001,5,H34-(($B$6*NORMSDIST((LN($B$6/A34)+($B$5+H34^2/2)*$B$4)/(H34*SQRT($B$4)))-A34*EXP(-$B$5*$B$4)*NORMSDIST(((LN($B$6/A34)+($B$5+H34^2/2)*$B$4)/(H34*SQRT($B$4))-H34*SQRT($B$4))))-B34)/($B$6*SQRT($B$4)*NORMDIST((LN($B$6/A34)+($B$5+H34^2/2)*$B$4)/(H34*SQRT($B$4)),0,1,FALSE()))),H34)</f>
        <v>0.0001</v>
      </c>
      <c r="J34" s="2">
        <f>IFERROR(MEDIAN(0.0001,5,I34-(($B$6*NORMSDIST((LN($B$6/A34)+($B$5+I34^2/2)*$B$4)/(I34*SQRT($B$4)))-A34*EXP(-$B$5*$B$4)*NORMSDIST(((LN($B$6/A34)+($B$5+I34^2/2)*$B$4)/(I34*SQRT($B$4))-I34*SQRT($B$4))))-B34)/($B$6*SQRT($B$4)*NORMDIST((LN($B$6/A34)+($B$5+I34^2/2)*$B$4)/(I34*SQRT($B$4)),0,1,FALSE()))),I34)</f>
        <v>0.0001</v>
      </c>
      <c r="K34" s="2">
        <f>(LN($B$6/A34)+($B$5+J34^2/2)*$B$4)/(J34*SQRT($B$4))</f>
        <v>2119.27314605309</v>
      </c>
      <c r="L34" s="2">
        <f>K34-J34*SQRT($B$4)</f>
        <v>2119.27311718558</v>
      </c>
      <c r="M34" s="2">
        <f>NORMSDIST(K34)</f>
        <v>1</v>
      </c>
      <c r="N34" s="2">
        <f>NORMSDIST(L34)</f>
        <v>1</v>
      </c>
      <c r="O34" s="2">
        <f>$B$6*M34-A34*EXP(-$B$5*$B$4)*N34</f>
        <v>1380.44450555337</v>
      </c>
      <c r="P34" s="2">
        <f>O34-B34</f>
        <v>93.9945055533651</v>
      </c>
      <c r="Q34" s="2">
        <v>46</v>
      </c>
      <c r="R34" s="4">
        <v>0.3</v>
      </c>
      <c r="S34" s="2">
        <f t="shared" si="0"/>
        <v>0.186288123047715</v>
      </c>
      <c r="T34" s="2">
        <f t="shared" si="1"/>
        <v>0.163326055796995</v>
      </c>
      <c r="U34" s="2">
        <f t="shared" si="2"/>
        <v>0.160941196324283</v>
      </c>
      <c r="V34" s="2">
        <f t="shared" si="3"/>
        <v>0.160910951824209</v>
      </c>
      <c r="W34" s="2">
        <f t="shared" si="4"/>
        <v>0.160910946896151</v>
      </c>
      <c r="X34" s="2">
        <f t="shared" si="5"/>
        <v>0.160910946896151</v>
      </c>
      <c r="Y34" s="2">
        <f t="shared" si="6"/>
        <v>0.160910946896151</v>
      </c>
      <c r="Z34" s="2">
        <f t="shared" si="7"/>
        <v>1.34027270148129</v>
      </c>
      <c r="AA34" s="2">
        <f t="shared" si="8"/>
        <v>1.29382171222827</v>
      </c>
      <c r="AB34" s="2">
        <f t="shared" si="9"/>
        <v>0.0900783515590155</v>
      </c>
      <c r="AC34" s="2">
        <f t="shared" si="10"/>
        <v>0.0978635055707487</v>
      </c>
      <c r="AD34" s="2">
        <f t="shared" si="11"/>
        <v>46</v>
      </c>
      <c r="AE34" s="2">
        <f t="shared" si="12"/>
        <v>0</v>
      </c>
    </row>
    <row r="35" spans="1:31">
      <c r="A35" s="2">
        <v>22050</v>
      </c>
      <c r="Q35" s="2">
        <v>49.45</v>
      </c>
      <c r="R35" s="4">
        <v>0.3</v>
      </c>
      <c r="S35" s="2">
        <f t="shared" si="0"/>
        <v>0.183917281847297</v>
      </c>
      <c r="T35" s="2">
        <f t="shared" si="1"/>
        <v>0.161656281131705</v>
      </c>
      <c r="U35" s="2">
        <f t="shared" si="2"/>
        <v>0.159522213527505</v>
      </c>
      <c r="V35" s="2">
        <f t="shared" si="3"/>
        <v>0.159499146532351</v>
      </c>
      <c r="W35" s="2">
        <f t="shared" si="4"/>
        <v>0.159499143803317</v>
      </c>
      <c r="X35" s="2">
        <f t="shared" si="5"/>
        <v>0.159499143803316</v>
      </c>
      <c r="Y35" s="2">
        <f t="shared" si="6"/>
        <v>0.159499143803317</v>
      </c>
      <c r="Z35" s="2">
        <f t="shared" si="7"/>
        <v>1.30242224113185</v>
      </c>
      <c r="AA35" s="2">
        <f t="shared" si="8"/>
        <v>1.25637880432667</v>
      </c>
      <c r="AB35" s="2">
        <f t="shared" si="9"/>
        <v>0.0963860418035229</v>
      </c>
      <c r="AC35" s="2">
        <f t="shared" si="10"/>
        <v>0.104489331320712</v>
      </c>
      <c r="AD35" s="2">
        <f t="shared" si="11"/>
        <v>49.4500000000021</v>
      </c>
      <c r="AE35" s="2">
        <f t="shared" si="12"/>
        <v>2.08899564313469e-12</v>
      </c>
    </row>
    <row r="36" spans="1:31">
      <c r="A36" s="2">
        <v>22100</v>
      </c>
      <c r="B36" s="2">
        <v>1212.45</v>
      </c>
      <c r="C36" s="4">
        <v>0.3</v>
      </c>
      <c r="D36" s="2">
        <f>IFERROR(MEDIAN(0.0001,5,C36-(($B$6*NORMSDIST((LN($B$6/A36)+($B$5+C36^2/2)*$B$4)/(C36*SQRT($B$4)))-A36*EXP(-$B$5*$B$4)*NORMSDIST(((LN($B$6/A36)+($B$5+C36^2/2)*$B$4)/(C36*SQRT($B$4))-C36*SQRT($B$4))))-B36)/($B$6*SQRT($B$4)*NORMDIST((LN($B$6/A36)+($B$5+C36^2/2)*$B$4)/(C36*SQRT($B$4)),0,1,FALSE()))),C36)</f>
        <v>0.123583073594991</v>
      </c>
      <c r="E36" s="2">
        <f>IFERROR(MEDIAN(0.0001,5,D36-(($B$6*NORMSDIST((LN($B$6/A36)+($B$5+D36^2/2)*$B$4)/(D36*SQRT($B$4)))-A36*EXP(-$B$5*$B$4)*NORMSDIST(((LN($B$6/A36)+($B$5+D36^2/2)*$B$4)/(D36*SQRT($B$4))-D36*SQRT($B$4))))-B36)/($B$6*SQRT($B$4)*NORMDIST((LN($B$6/A36)+($B$5+D36^2/2)*$B$4)/(D36*SQRT($B$4)),0,1,FALSE()))),D36)</f>
        <v>0.00460632026567973</v>
      </c>
      <c r="F36" s="2">
        <f>IFERROR(MEDIAN(0.0001,5,E36-(($B$6*NORMSDIST((LN($B$6/A36)+($B$5+E36^2/2)*$B$4)/(E36*SQRT($B$4)))-A36*EXP(-$B$5*$B$4)*NORMSDIST(((LN($B$6/A36)+($B$5+E36^2/2)*$B$4)/(E36*SQRT($B$4))-E36*SQRT($B$4))))-B36)/($B$6*SQRT($B$4)*NORMDIST((LN($B$6/A36)+($B$5+E36^2/2)*$B$4)/(E36*SQRT($B$4)),0,1,FALSE()))),E36)</f>
        <v>0.00460632026567973</v>
      </c>
      <c r="G36" s="2">
        <f>IFERROR(MEDIAN(0.0001,5,F36-(($B$6*NORMSDIST((LN($B$6/A36)+($B$5+F36^2/2)*$B$4)/(F36*SQRT($B$4)))-A36*EXP(-$B$5*$B$4)*NORMSDIST(((LN($B$6/A36)+($B$5+F36^2/2)*$B$4)/(F36*SQRT($B$4))-F36*SQRT($B$4))))-B36)/($B$6*SQRT($B$4)*NORMDIST((LN($B$6/A36)+($B$5+F36^2/2)*$B$4)/(F36*SQRT($B$4)),0,1,FALSE()))),F36)</f>
        <v>0.00460632026567973</v>
      </c>
      <c r="H36" s="2">
        <f>IFERROR(MEDIAN(0.0001,5,G36-(($B$6*NORMSDIST((LN($B$6/A36)+($B$5+G36^2/2)*$B$4)/(G36*SQRT($B$4)))-A36*EXP(-$B$5*$B$4)*NORMSDIST(((LN($B$6/A36)+($B$5+G36^2/2)*$B$4)/(G36*SQRT($B$4))-G36*SQRT($B$4))))-B36)/($B$6*SQRT($B$4)*NORMDIST((LN($B$6/A36)+($B$5+G36^2/2)*$B$4)/(G36*SQRT($B$4)),0,1,FALSE()))),G36)</f>
        <v>0.00460632026567973</v>
      </c>
      <c r="I36" s="2">
        <f>IFERROR(MEDIAN(0.0001,5,H36-(($B$6*NORMSDIST((LN($B$6/A36)+($B$5+H36^2/2)*$B$4)/(H36*SQRT($B$4)))-A36*EXP(-$B$5*$B$4)*NORMSDIST(((LN($B$6/A36)+($B$5+H36^2/2)*$B$4)/(H36*SQRT($B$4))-H36*SQRT($B$4))))-B36)/($B$6*SQRT($B$4)*NORMDIST((LN($B$6/A36)+($B$5+H36^2/2)*$B$4)/(H36*SQRT($B$4)),0,1,FALSE()))),H36)</f>
        <v>0.00460632026567973</v>
      </c>
      <c r="J36" s="2">
        <f>IFERROR(MEDIAN(0.0001,5,I36-(($B$6*NORMSDIST((LN($B$6/A36)+($B$5+I36^2/2)*$B$4)/(I36*SQRT($B$4)))-A36*EXP(-$B$5*$B$4)*NORMSDIST(((LN($B$6/A36)+($B$5+I36^2/2)*$B$4)/(I36*SQRT($B$4))-I36*SQRT($B$4))))-B36)/($B$6*SQRT($B$4)*NORMDIST((LN($B$6/A36)+($B$5+I36^2/2)*$B$4)/(I36*SQRT($B$4)),0,1,FALSE()))),I36)</f>
        <v>0.00460632026567973</v>
      </c>
      <c r="K36" s="2">
        <f>(LN($B$6/A36)+($B$5+J36^2/2)*$B$4)/(J36*SQRT($B$4))</f>
        <v>42.5980231708991</v>
      </c>
      <c r="L36" s="2">
        <f>K36-J36*SQRT($B$4)</f>
        <v>42.5966934407764</v>
      </c>
      <c r="M36" s="2">
        <f>NORMSDIST(K36)</f>
        <v>1</v>
      </c>
      <c r="N36" s="2">
        <f>NORMSDIST(L36)</f>
        <v>1</v>
      </c>
      <c r="O36" s="2">
        <f>$B$6*M36-A36*EXP(-$B$5*$B$4)*N36</f>
        <v>1280.98470785133</v>
      </c>
      <c r="P36" s="2">
        <f>O36-B36</f>
        <v>68.5347078513339</v>
      </c>
      <c r="Q36" s="2">
        <v>50.95</v>
      </c>
      <c r="R36" s="4">
        <v>0.3</v>
      </c>
      <c r="S36" s="2">
        <f t="shared" si="0"/>
        <v>0.180462320262004</v>
      </c>
      <c r="T36" s="2">
        <f t="shared" si="1"/>
        <v>0.158322088679063</v>
      </c>
      <c r="U36" s="2">
        <f t="shared" si="2"/>
        <v>0.156258250002679</v>
      </c>
      <c r="V36" s="2">
        <f t="shared" si="3"/>
        <v>0.156237034696652</v>
      </c>
      <c r="W36" s="2">
        <f t="shared" si="4"/>
        <v>0.156237032425773</v>
      </c>
      <c r="X36" s="2">
        <f t="shared" si="5"/>
        <v>0.156237032425772</v>
      </c>
      <c r="Y36" s="2">
        <f t="shared" si="6"/>
        <v>0.156237032425773</v>
      </c>
      <c r="Z36" s="2">
        <f t="shared" si="7"/>
        <v>1.27844438179584</v>
      </c>
      <c r="AA36" s="2">
        <f t="shared" si="8"/>
        <v>1.23334263543163</v>
      </c>
      <c r="AB36" s="2">
        <f t="shared" si="9"/>
        <v>0.100546391835176</v>
      </c>
      <c r="AC36" s="2">
        <f t="shared" si="10"/>
        <v>0.108723978676191</v>
      </c>
      <c r="AD36" s="2">
        <f t="shared" si="11"/>
        <v>50.9500000000003</v>
      </c>
      <c r="AE36" s="2">
        <f t="shared" si="12"/>
        <v>2.70006239588838e-13</v>
      </c>
    </row>
    <row r="37" spans="1:31">
      <c r="A37" s="2">
        <v>22150</v>
      </c>
      <c r="B37" s="2">
        <v>1095</v>
      </c>
      <c r="C37" s="4">
        <v>0.3</v>
      </c>
      <c r="D37" s="2">
        <f>IFERROR(MEDIAN(0.0001,5,C37-(($B$6*NORMSDIST((LN($B$6/A37)+($B$5+C37^2/2)*$B$4)/(C37*SQRT($B$4)))-A37*EXP(-$B$5*$B$4)*NORMSDIST(((LN($B$6/A37)+($B$5+C37^2/2)*$B$4)/(C37*SQRT($B$4))-C37*SQRT($B$4))))-B37)/($B$6*SQRT($B$4)*NORMDIST((LN($B$6/A37)+($B$5+C37^2/2)*$B$4)/(C37*SQRT($B$4)),0,1,FALSE()))),C37)</f>
        <v>0.0886431049324937</v>
      </c>
      <c r="E37" s="2">
        <f>IFERROR(MEDIAN(0.0001,5,D37-(($B$6*NORMSDIST((LN($B$6/A37)+($B$5+D37^2/2)*$B$4)/(D37*SQRT($B$4)))-A37*EXP(-$B$5*$B$4)*NORMSDIST(((LN($B$6/A37)+($B$5+D37^2/2)*$B$4)/(D37*SQRT($B$4))-D37*SQRT($B$4))))-B37)/($B$6*SQRT($B$4)*NORMDIST((LN($B$6/A37)+($B$5+D37^2/2)*$B$4)/(D37*SQRT($B$4)),0,1,FALSE()))),D37)</f>
        <v>0.0001</v>
      </c>
      <c r="F37" s="2">
        <f>IFERROR(MEDIAN(0.0001,5,E37-(($B$6*NORMSDIST((LN($B$6/A37)+($B$5+E37^2/2)*$B$4)/(E37*SQRT($B$4)))-A37*EXP(-$B$5*$B$4)*NORMSDIST(((LN($B$6/A37)+($B$5+E37^2/2)*$B$4)/(E37*SQRT($B$4))-E37*SQRT($B$4))))-B37)/($B$6*SQRT($B$4)*NORMDIST((LN($B$6/A37)+($B$5+E37^2/2)*$B$4)/(E37*SQRT($B$4)),0,1,FALSE()))),E37)</f>
        <v>0.0001</v>
      </c>
      <c r="G37" s="2">
        <f>IFERROR(MEDIAN(0.0001,5,F37-(($B$6*NORMSDIST((LN($B$6/A37)+($B$5+F37^2/2)*$B$4)/(F37*SQRT($B$4)))-A37*EXP(-$B$5*$B$4)*NORMSDIST(((LN($B$6/A37)+($B$5+F37^2/2)*$B$4)/(F37*SQRT($B$4))-F37*SQRT($B$4))))-B37)/($B$6*SQRT($B$4)*NORMDIST((LN($B$6/A37)+($B$5+F37^2/2)*$B$4)/(F37*SQRT($B$4)),0,1,FALSE()))),F37)</f>
        <v>0.0001</v>
      </c>
      <c r="H37" s="2">
        <f>IFERROR(MEDIAN(0.0001,5,G37-(($B$6*NORMSDIST((LN($B$6/A37)+($B$5+G37^2/2)*$B$4)/(G37*SQRT($B$4)))-A37*EXP(-$B$5*$B$4)*NORMSDIST(((LN($B$6/A37)+($B$5+G37^2/2)*$B$4)/(G37*SQRT($B$4))-G37*SQRT($B$4))))-B37)/($B$6*SQRT($B$4)*NORMDIST((LN($B$6/A37)+($B$5+G37^2/2)*$B$4)/(G37*SQRT($B$4)),0,1,FALSE()))),G37)</f>
        <v>0.0001</v>
      </c>
      <c r="I37" s="2">
        <f>IFERROR(MEDIAN(0.0001,5,H37-(($B$6*NORMSDIST((LN($B$6/A37)+($B$5+H37^2/2)*$B$4)/(H37*SQRT($B$4)))-A37*EXP(-$B$5*$B$4)*NORMSDIST(((LN($B$6/A37)+($B$5+H37^2/2)*$B$4)/(H37*SQRT($B$4))-H37*SQRT($B$4))))-B37)/($B$6*SQRT($B$4)*NORMDIST((LN($B$6/A37)+($B$5+H37^2/2)*$B$4)/(H37*SQRT($B$4)),0,1,FALSE()))),H37)</f>
        <v>0.0001</v>
      </c>
      <c r="J37" s="2">
        <f>IFERROR(MEDIAN(0.0001,5,I37-(($B$6*NORMSDIST((LN($B$6/A37)+($B$5+I37^2/2)*$B$4)/(I37*SQRT($B$4)))-A37*EXP(-$B$5*$B$4)*NORMSDIST(((LN($B$6/A37)+($B$5+I37^2/2)*$B$4)/(I37*SQRT($B$4))-I37*SQRT($B$4))))-B37)/($B$6*SQRT($B$4)*NORMDIST((LN($B$6/A37)+($B$5+I37^2/2)*$B$4)/(I37*SQRT($B$4)),0,1,FALSE()))),I37)</f>
        <v>0.0001</v>
      </c>
      <c r="K37" s="2">
        <f>(LN($B$6/A37)+($B$5+J37^2/2)*$B$4)/(J37*SQRT($B$4))</f>
        <v>1883.88594713946</v>
      </c>
      <c r="L37" s="2">
        <f>K37-J37*SQRT($B$4)</f>
        <v>1883.88591827194</v>
      </c>
      <c r="M37" s="2">
        <f>NORMSDIST(K37)</f>
        <v>1</v>
      </c>
      <c r="N37" s="2">
        <f>NORMSDIST(L37)</f>
        <v>1</v>
      </c>
      <c r="O37" s="2">
        <f>$B$6*M37-A37*EXP(-$B$5*$B$4)*N37</f>
        <v>1231.25480900032</v>
      </c>
      <c r="P37" s="2">
        <f>O37-B37</f>
        <v>136.254809000322</v>
      </c>
      <c r="Q37" s="2">
        <v>56.7</v>
      </c>
      <c r="R37" s="4">
        <v>0.3</v>
      </c>
      <c r="S37" s="2">
        <f t="shared" si="0"/>
        <v>0.17887122319414</v>
      </c>
      <c r="T37" s="2">
        <f t="shared" si="1"/>
        <v>0.158028806284521</v>
      </c>
      <c r="U37" s="2">
        <f t="shared" si="2"/>
        <v>0.156334278898724</v>
      </c>
      <c r="V37" s="2">
        <f t="shared" si="3"/>
        <v>0.156321096808291</v>
      </c>
      <c r="W37" s="2">
        <f t="shared" si="4"/>
        <v>0.15632109600142</v>
      </c>
      <c r="X37" s="2">
        <f t="shared" si="5"/>
        <v>0.15632109600142</v>
      </c>
      <c r="Y37" s="2">
        <f t="shared" si="6"/>
        <v>0.156321096001419</v>
      </c>
      <c r="Z37" s="2">
        <f t="shared" si="7"/>
        <v>1.22770164819894</v>
      </c>
      <c r="AA37" s="2">
        <f t="shared" si="8"/>
        <v>1.18257563477073</v>
      </c>
      <c r="AB37" s="2">
        <f t="shared" si="9"/>
        <v>0.109779493749816</v>
      </c>
      <c r="AC37" s="2">
        <f t="shared" si="10"/>
        <v>0.118488686817179</v>
      </c>
      <c r="AD37" s="2">
        <f t="shared" si="11"/>
        <v>56.6999999999994</v>
      </c>
      <c r="AE37" s="2">
        <f t="shared" si="12"/>
        <v>-6.3948846218409e-13</v>
      </c>
    </row>
    <row r="38" spans="1:31">
      <c r="A38" s="2">
        <v>22200</v>
      </c>
      <c r="B38" s="2">
        <v>1115.15</v>
      </c>
      <c r="C38" s="4">
        <v>0.3</v>
      </c>
      <c r="D38" s="2">
        <f>IFERROR(MEDIAN(0.0001,5,C38-(($B$6*NORMSDIST((LN($B$6/A38)+($B$5+C38^2/2)*$B$4)/(C38*SQRT($B$4)))-A38*EXP(-$B$5*$B$4)*NORMSDIST(((LN($B$6/A38)+($B$5+C38^2/2)*$B$4)/(C38*SQRT($B$4))-C38*SQRT($B$4))))-B38)/($B$6*SQRT($B$4)*NORMDIST((LN($B$6/A38)+($B$5+C38^2/2)*$B$4)/(C38*SQRT($B$4)),0,1,FALSE()))),C38)</f>
        <v>0.117868795635546</v>
      </c>
      <c r="E38" s="2">
        <f>IFERROR(MEDIAN(0.0001,5,D38-(($B$6*NORMSDIST((LN($B$6/A38)+($B$5+D38^2/2)*$B$4)/(D38*SQRT($B$4)))-A38*EXP(-$B$5*$B$4)*NORMSDIST(((LN($B$6/A38)+($B$5+D38^2/2)*$B$4)/(D38*SQRT($B$4))-D38*SQRT($B$4))))-B38)/($B$6*SQRT($B$4)*NORMDIST((LN($B$6/A38)+($B$5+D38^2/2)*$B$4)/(D38*SQRT($B$4)),0,1,FALSE()))),D38)</f>
        <v>0.00960964467956532</v>
      </c>
      <c r="F38" s="2">
        <f>IFERROR(MEDIAN(0.0001,5,E38-(($B$6*NORMSDIST((LN($B$6/A38)+($B$5+E38^2/2)*$B$4)/(E38*SQRT($B$4)))-A38*EXP(-$B$5*$B$4)*NORMSDIST(((LN($B$6/A38)+($B$5+E38^2/2)*$B$4)/(E38*SQRT($B$4))-E38*SQRT($B$4))))-B38)/($B$6*SQRT($B$4)*NORMDIST((LN($B$6/A38)+($B$5+E38^2/2)*$B$4)/(E38*SQRT($B$4)),0,1,FALSE()))),E38)</f>
        <v>0.0001</v>
      </c>
      <c r="G38" s="2">
        <f>IFERROR(MEDIAN(0.0001,5,F38-(($B$6*NORMSDIST((LN($B$6/A38)+($B$5+F38^2/2)*$B$4)/(F38*SQRT($B$4)))-A38*EXP(-$B$5*$B$4)*NORMSDIST(((LN($B$6/A38)+($B$5+F38^2/2)*$B$4)/(F38*SQRT($B$4))-F38*SQRT($B$4))))-B38)/($B$6*SQRT($B$4)*NORMDIST((LN($B$6/A38)+($B$5+F38^2/2)*$B$4)/(F38*SQRT($B$4)),0,1,FALSE()))),F38)</f>
        <v>0.0001</v>
      </c>
      <c r="H38" s="2">
        <f>IFERROR(MEDIAN(0.0001,5,G38-(($B$6*NORMSDIST((LN($B$6/A38)+($B$5+G38^2/2)*$B$4)/(G38*SQRT($B$4)))-A38*EXP(-$B$5*$B$4)*NORMSDIST(((LN($B$6/A38)+($B$5+G38^2/2)*$B$4)/(G38*SQRT($B$4))-G38*SQRT($B$4))))-B38)/($B$6*SQRT($B$4)*NORMDIST((LN($B$6/A38)+($B$5+G38^2/2)*$B$4)/(G38*SQRT($B$4)),0,1,FALSE()))),G38)</f>
        <v>0.0001</v>
      </c>
      <c r="I38" s="2">
        <f>IFERROR(MEDIAN(0.0001,5,H38-(($B$6*NORMSDIST((LN($B$6/A38)+($B$5+H38^2/2)*$B$4)/(H38*SQRT($B$4)))-A38*EXP(-$B$5*$B$4)*NORMSDIST(((LN($B$6/A38)+($B$5+H38^2/2)*$B$4)/(H38*SQRT($B$4))-H38*SQRT($B$4))))-B38)/($B$6*SQRT($B$4)*NORMDIST((LN($B$6/A38)+($B$5+H38^2/2)*$B$4)/(H38*SQRT($B$4)),0,1,FALSE()))),H38)</f>
        <v>0.0001</v>
      </c>
      <c r="J38" s="2">
        <f>IFERROR(MEDIAN(0.0001,5,I38-(($B$6*NORMSDIST((LN($B$6/A38)+($B$5+I38^2/2)*$B$4)/(I38*SQRT($B$4)))-A38*EXP(-$B$5*$B$4)*NORMSDIST(((LN($B$6/A38)+($B$5+I38^2/2)*$B$4)/(I38*SQRT($B$4))-I38*SQRT($B$4))))-B38)/($B$6*SQRT($B$4)*NORMDIST((LN($B$6/A38)+($B$5+I38^2/2)*$B$4)/(I38*SQRT($B$4)),0,1,FALSE()))),I38)</f>
        <v>0.0001</v>
      </c>
      <c r="K38" s="2">
        <f>(LN($B$6/A38)+($B$5+J38^2/2)*$B$4)/(J38*SQRT($B$4))</f>
        <v>1805.77764764031</v>
      </c>
      <c r="L38" s="2">
        <f>K38-J38*SQRT($B$4)</f>
        <v>1805.77761877279</v>
      </c>
      <c r="M38" s="2">
        <f>NORMSDIST(K38)</f>
        <v>1</v>
      </c>
      <c r="N38" s="2">
        <f>NORMSDIST(L38)</f>
        <v>1</v>
      </c>
      <c r="O38" s="2">
        <f>$B$6*M38-A38*EXP(-$B$5*$B$4)*N38</f>
        <v>1181.52491014931</v>
      </c>
      <c r="P38" s="2">
        <f>O38-B38</f>
        <v>66.3749101493063</v>
      </c>
      <c r="Q38" s="2">
        <v>59.15</v>
      </c>
      <c r="R38" s="4">
        <v>0.3</v>
      </c>
      <c r="S38" s="2">
        <f t="shared" si="0"/>
        <v>0.175568450277414</v>
      </c>
      <c r="T38" s="2">
        <f t="shared" si="1"/>
        <v>0.155117183487837</v>
      </c>
      <c r="U38" s="2">
        <f t="shared" si="2"/>
        <v>0.153539900620969</v>
      </c>
      <c r="V38" s="2">
        <f t="shared" si="3"/>
        <v>0.153528822255261</v>
      </c>
      <c r="W38" s="2">
        <f t="shared" si="4"/>
        <v>0.153528821702557</v>
      </c>
      <c r="X38" s="2">
        <f t="shared" si="5"/>
        <v>0.153528821702558</v>
      </c>
      <c r="Y38" s="2">
        <f t="shared" si="6"/>
        <v>0.153528821702558</v>
      </c>
      <c r="Z38" s="2">
        <f t="shared" si="7"/>
        <v>1.19834149954434</v>
      </c>
      <c r="AA38" s="2">
        <f t="shared" si="8"/>
        <v>1.15402154627517</v>
      </c>
      <c r="AB38" s="2">
        <f t="shared" si="9"/>
        <v>0.115392048426895</v>
      </c>
      <c r="AC38" s="2">
        <f t="shared" si="10"/>
        <v>0.124245667758081</v>
      </c>
      <c r="AD38" s="2">
        <f t="shared" si="11"/>
        <v>59.150000000001</v>
      </c>
      <c r="AE38" s="2">
        <f t="shared" si="12"/>
        <v>1.00186525742174e-12</v>
      </c>
    </row>
    <row r="39" spans="1:31">
      <c r="A39" s="2">
        <v>22250</v>
      </c>
      <c r="B39" s="2">
        <v>1132</v>
      </c>
      <c r="C39" s="4">
        <v>0.3</v>
      </c>
      <c r="D39" s="2">
        <f>IFERROR(MEDIAN(0.0001,5,C39-(($B$6*NORMSDIST((LN($B$6/A39)+($B$5+C39^2/2)*$B$4)/(C39*SQRT($B$4)))-A39*EXP(-$B$5*$B$4)*NORMSDIST(((LN($B$6/A39)+($B$5+C39^2/2)*$B$4)/(C39*SQRT($B$4))-C39*SQRT($B$4))))-B39)/($B$6*SQRT($B$4)*NORMDIST((LN($B$6/A39)+($B$5+C39^2/2)*$B$4)/(C39*SQRT($B$4)),0,1,FALSE()))),C39)</f>
        <v>0.144360614997092</v>
      </c>
      <c r="E39" s="2">
        <f>IFERROR(MEDIAN(0.0001,5,D39-(($B$6*NORMSDIST((LN($B$6/A39)+($B$5+D39^2/2)*$B$4)/(D39*SQRT($B$4)))-A39*EXP(-$B$5*$B$4)*NORMSDIST(((LN($B$6/A39)+($B$5+D39^2/2)*$B$4)/(D39*SQRT($B$4))-D39*SQRT($B$4))))-B39)/($B$6*SQRT($B$4)*NORMDIST((LN($B$6/A39)+($B$5+D39^2/2)*$B$4)/(D39*SQRT($B$4)),0,1,FALSE()))),D39)</f>
        <v>0.102700506482967</v>
      </c>
      <c r="F39" s="2">
        <f>IFERROR(MEDIAN(0.0001,5,E39-(($B$6*NORMSDIST((LN($B$6/A39)+($B$5+E39^2/2)*$B$4)/(E39*SQRT($B$4)))-A39*EXP(-$B$5*$B$4)*NORMSDIST(((LN($B$6/A39)+($B$5+E39^2/2)*$B$4)/(E39*SQRT($B$4))-E39*SQRT($B$4))))-B39)/($B$6*SQRT($B$4)*NORMDIST((LN($B$6/A39)+($B$5+E39^2/2)*$B$4)/(E39*SQRT($B$4)),0,1,FALSE()))),E39)</f>
        <v>0.0827917973213704</v>
      </c>
      <c r="G39" s="2">
        <f>IFERROR(MEDIAN(0.0001,5,F39-(($B$6*NORMSDIST((LN($B$6/A39)+($B$5+F39^2/2)*$B$4)/(F39*SQRT($B$4)))-A39*EXP(-$B$5*$B$4)*NORMSDIST(((LN($B$6/A39)+($B$5+F39^2/2)*$B$4)/(F39*SQRT($B$4))-F39*SQRT($B$4))))-B39)/($B$6*SQRT($B$4)*NORMDIST((LN($B$6/A39)+($B$5+F39^2/2)*$B$4)/(F39*SQRT($B$4)),0,1,FALSE()))),F39)</f>
        <v>0.0712029998022727</v>
      </c>
      <c r="H39" s="2">
        <f>IFERROR(MEDIAN(0.0001,5,G39-(($B$6*NORMSDIST((LN($B$6/A39)+($B$5+G39^2/2)*$B$4)/(G39*SQRT($B$4)))-A39*EXP(-$B$5*$B$4)*NORMSDIST(((LN($B$6/A39)+($B$5+G39^2/2)*$B$4)/(G39*SQRT($B$4))-G39*SQRT($B$4))))-B39)/($B$6*SQRT($B$4)*NORMDIST((LN($B$6/A39)+($B$5+G39^2/2)*$B$4)/(G39*SQRT($B$4)),0,1,FALSE()))),G39)</f>
        <v>0.0641835311813397</v>
      </c>
      <c r="I39" s="2">
        <f>IFERROR(MEDIAN(0.0001,5,H39-(($B$6*NORMSDIST((LN($B$6/A39)+($B$5+H39^2/2)*$B$4)/(H39*SQRT($B$4)))-A39*EXP(-$B$5*$B$4)*NORMSDIST(((LN($B$6/A39)+($B$5+H39^2/2)*$B$4)/(H39*SQRT($B$4))-H39*SQRT($B$4))))-B39)/($B$6*SQRT($B$4)*NORMDIST((LN($B$6/A39)+($B$5+H39^2/2)*$B$4)/(H39*SQRT($B$4)),0,1,FALSE()))),H39)</f>
        <v>0.0605641378969901</v>
      </c>
      <c r="J39" s="2">
        <f>IFERROR(MEDIAN(0.0001,5,I39-(($B$6*NORMSDIST((LN($B$6/A39)+($B$5+I39^2/2)*$B$4)/(I39*SQRT($B$4)))-A39*EXP(-$B$5*$B$4)*NORMSDIST(((LN($B$6/A39)+($B$5+I39^2/2)*$B$4)/(I39*SQRT($B$4))-I39*SQRT($B$4))))-B39)/($B$6*SQRT($B$4)*NORMDIST((LN($B$6/A39)+($B$5+I39^2/2)*$B$4)/(I39*SQRT($B$4)),0,1,FALSE()))),I39)</f>
        <v>0.0595010182202244</v>
      </c>
      <c r="K39" s="2">
        <f>(LN($B$6/A39)+($B$5+J39^2/2)*$B$4)/(J39*SQRT($B$4))</f>
        <v>2.91247980794116</v>
      </c>
      <c r="L39" s="2">
        <f>K39-J39*SQRT($B$4)</f>
        <v>2.8953033434979</v>
      </c>
      <c r="M39" s="2">
        <f>NORMSDIST(K39)</f>
        <v>0.998207143088513</v>
      </c>
      <c r="N39" s="2">
        <f>NORMSDIST(L39)</f>
        <v>0.998106038544594</v>
      </c>
      <c r="O39" s="2">
        <f>$B$6*M39-A39*EXP(-$B$5*$B$4)*N39</f>
        <v>1132.00328863029</v>
      </c>
      <c r="P39" s="2">
        <f>O39-B39</f>
        <v>0.00328863029062632</v>
      </c>
      <c r="Q39" s="2">
        <v>65.2</v>
      </c>
      <c r="R39" s="4">
        <v>0.3</v>
      </c>
      <c r="S39" s="2">
        <f t="shared" si="0"/>
        <v>0.1737499981139</v>
      </c>
      <c r="T39" s="2">
        <f t="shared" si="1"/>
        <v>0.15454152554634</v>
      </c>
      <c r="U39" s="2">
        <f t="shared" si="2"/>
        <v>0.153252188170647</v>
      </c>
      <c r="V39" s="2">
        <f t="shared" si="3"/>
        <v>0.153245363122321</v>
      </c>
      <c r="W39" s="2">
        <f t="shared" si="4"/>
        <v>0.153245362929196</v>
      </c>
      <c r="X39" s="2">
        <f t="shared" si="5"/>
        <v>0.153245362929197</v>
      </c>
      <c r="Y39" s="2">
        <f t="shared" si="6"/>
        <v>0.153245362929197</v>
      </c>
      <c r="Z39" s="2">
        <f t="shared" si="7"/>
        <v>1.14962140457899</v>
      </c>
      <c r="AA39" s="2">
        <f t="shared" si="8"/>
        <v>1.10538327880937</v>
      </c>
      <c r="AB39" s="2">
        <f t="shared" si="9"/>
        <v>0.125149919138826</v>
      </c>
      <c r="AC39" s="2">
        <f t="shared" si="10"/>
        <v>0.134496773042479</v>
      </c>
      <c r="AD39" s="2">
        <f t="shared" si="11"/>
        <v>65.2000000000012</v>
      </c>
      <c r="AE39" s="2">
        <f t="shared" si="12"/>
        <v>1.17950094136177e-12</v>
      </c>
    </row>
    <row r="40" spans="1:31">
      <c r="A40" s="2">
        <v>22300</v>
      </c>
      <c r="B40" s="2">
        <v>1000</v>
      </c>
      <c r="C40" s="4">
        <v>0.3</v>
      </c>
      <c r="D40" s="2">
        <f>IFERROR(MEDIAN(0.0001,5,C40-(($B$6*NORMSDIST((LN($B$6/A40)+($B$5+C40^2/2)*$B$4)/(C40*SQRT($B$4)))-A40*EXP(-$B$5*$B$4)*NORMSDIST(((LN($B$6/A40)+($B$5+C40^2/2)*$B$4)/(C40*SQRT($B$4))-C40*SQRT($B$4))))-B40)/($B$6*SQRT($B$4)*NORMDIST((LN($B$6/A40)+($B$5+C40^2/2)*$B$4)/(C40*SQRT($B$4)),0,1,FALSE()))),C40)</f>
        <v>0.103489178809541</v>
      </c>
      <c r="E40" s="2">
        <f>IFERROR(MEDIAN(0.0001,5,D40-(($B$6*NORMSDIST((LN($B$6/A40)+($B$5+D40^2/2)*$B$4)/(D40*SQRT($B$4)))-A40*EXP(-$B$5*$B$4)*NORMSDIST(((LN($B$6/A40)+($B$5+D40^2/2)*$B$4)/(D40*SQRT($B$4))-D40*SQRT($B$4))))-B40)/($B$6*SQRT($B$4)*NORMDIST((LN($B$6/A40)+($B$5+D40^2/2)*$B$4)/(D40*SQRT($B$4)),0,1,FALSE()))),D40)</f>
        <v>0.0001</v>
      </c>
      <c r="F40" s="2">
        <f>IFERROR(MEDIAN(0.0001,5,E40-(($B$6*NORMSDIST((LN($B$6/A40)+($B$5+E40^2/2)*$B$4)/(E40*SQRT($B$4)))-A40*EXP(-$B$5*$B$4)*NORMSDIST(((LN($B$6/A40)+($B$5+E40^2/2)*$B$4)/(E40*SQRT($B$4))-E40*SQRT($B$4))))-B40)/($B$6*SQRT($B$4)*NORMDIST((LN($B$6/A40)+($B$5+E40^2/2)*$B$4)/(E40*SQRT($B$4)),0,1,FALSE()))),E40)</f>
        <v>0.0001</v>
      </c>
      <c r="G40" s="2">
        <f>IFERROR(MEDIAN(0.0001,5,F40-(($B$6*NORMSDIST((LN($B$6/A40)+($B$5+F40^2/2)*$B$4)/(F40*SQRT($B$4)))-A40*EXP(-$B$5*$B$4)*NORMSDIST(((LN($B$6/A40)+($B$5+F40^2/2)*$B$4)/(F40*SQRT($B$4))-F40*SQRT($B$4))))-B40)/($B$6*SQRT($B$4)*NORMDIST((LN($B$6/A40)+($B$5+F40^2/2)*$B$4)/(F40*SQRT($B$4)),0,1,FALSE()))),F40)</f>
        <v>0.0001</v>
      </c>
      <c r="H40" s="2">
        <f>IFERROR(MEDIAN(0.0001,5,G40-(($B$6*NORMSDIST((LN($B$6/A40)+($B$5+G40^2/2)*$B$4)/(G40*SQRT($B$4)))-A40*EXP(-$B$5*$B$4)*NORMSDIST(((LN($B$6/A40)+($B$5+G40^2/2)*$B$4)/(G40*SQRT($B$4))-G40*SQRT($B$4))))-B40)/($B$6*SQRT($B$4)*NORMDIST((LN($B$6/A40)+($B$5+G40^2/2)*$B$4)/(G40*SQRT($B$4)),0,1,FALSE()))),G40)</f>
        <v>0.0001</v>
      </c>
      <c r="I40" s="2">
        <f>IFERROR(MEDIAN(0.0001,5,H40-(($B$6*NORMSDIST((LN($B$6/A40)+($B$5+H40^2/2)*$B$4)/(H40*SQRT($B$4)))-A40*EXP(-$B$5*$B$4)*NORMSDIST(((LN($B$6/A40)+($B$5+H40^2/2)*$B$4)/(H40*SQRT($B$4))-H40*SQRT($B$4))))-B40)/($B$6*SQRT($B$4)*NORMDIST((LN($B$6/A40)+($B$5+H40^2/2)*$B$4)/(H40*SQRT($B$4)),0,1,FALSE()))),H40)</f>
        <v>0.0001</v>
      </c>
      <c r="J40" s="2">
        <f>IFERROR(MEDIAN(0.0001,5,I40-(($B$6*NORMSDIST((LN($B$6/A40)+($B$5+I40^2/2)*$B$4)/(I40*SQRT($B$4)))-A40*EXP(-$B$5*$B$4)*NORMSDIST(((LN($B$6/A40)+($B$5+I40^2/2)*$B$4)/(I40*SQRT($B$4))-I40*SQRT($B$4))))-B40)/($B$6*SQRT($B$4)*NORMDIST((LN($B$6/A40)+($B$5+I40^2/2)*$B$4)/(I40*SQRT($B$4)),0,1,FALSE()))),I40)</f>
        <v>0.0001</v>
      </c>
      <c r="K40" s="2">
        <f>(LN($B$6/A40)+($B$5+J40^2/2)*$B$4)/(J40*SQRT($B$4))</f>
        <v>1650.08742533738</v>
      </c>
      <c r="L40" s="2">
        <f>K40-J40*SQRT($B$4)</f>
        <v>1650.08739646986</v>
      </c>
      <c r="M40" s="2">
        <f>NORMSDIST(K40)</f>
        <v>1</v>
      </c>
      <c r="N40" s="2">
        <f>NORMSDIST(L40)</f>
        <v>1</v>
      </c>
      <c r="O40" s="2">
        <f>$B$6*M40-A40*EXP(-$B$5*$B$4)*N40</f>
        <v>1082.06511244728</v>
      </c>
      <c r="P40" s="2">
        <f>O40-B40</f>
        <v>82.0651124472752</v>
      </c>
      <c r="Q40" s="2">
        <v>69.4</v>
      </c>
      <c r="R40" s="4">
        <v>0.3</v>
      </c>
      <c r="S40" s="2">
        <f t="shared" si="0"/>
        <v>0.170910663382803</v>
      </c>
      <c r="T40" s="2">
        <f t="shared" si="1"/>
        <v>0.152473642494176</v>
      </c>
      <c r="U40" s="2">
        <f t="shared" si="2"/>
        <v>0.151347385111823</v>
      </c>
      <c r="V40" s="2">
        <f t="shared" si="3"/>
        <v>0.151342450512969</v>
      </c>
      <c r="W40" s="2">
        <f t="shared" si="4"/>
        <v>0.151342450417378</v>
      </c>
      <c r="X40" s="2">
        <f t="shared" si="5"/>
        <v>0.151342450417379</v>
      </c>
      <c r="Y40" s="2">
        <f t="shared" si="6"/>
        <v>0.151342450417379</v>
      </c>
      <c r="Z40" s="2">
        <f t="shared" si="7"/>
        <v>1.11214484647163</v>
      </c>
      <c r="AA40" s="2">
        <f t="shared" si="8"/>
        <v>1.06845604422748</v>
      </c>
      <c r="AB40" s="2">
        <f t="shared" si="9"/>
        <v>0.133037938590579</v>
      </c>
      <c r="AC40" s="2">
        <f t="shared" si="10"/>
        <v>0.142657423988377</v>
      </c>
      <c r="AD40" s="2">
        <f t="shared" si="11"/>
        <v>69.3999999999996</v>
      </c>
      <c r="AE40" s="2">
        <f t="shared" si="12"/>
        <v>-3.69482222595252e-13</v>
      </c>
    </row>
    <row r="41" spans="1:31">
      <c r="A41" s="2">
        <v>22350</v>
      </c>
      <c r="Q41" s="2">
        <v>74.05</v>
      </c>
      <c r="R41" s="4">
        <v>0.3</v>
      </c>
      <c r="S41" s="2">
        <f t="shared" si="0"/>
        <v>0.168096874952463</v>
      </c>
      <c r="T41" s="2">
        <f t="shared" si="1"/>
        <v>0.150507978583084</v>
      </c>
      <c r="U41" s="2">
        <f t="shared" si="2"/>
        <v>0.149540608954119</v>
      </c>
      <c r="V41" s="2">
        <f t="shared" si="3"/>
        <v>0.149537178698357</v>
      </c>
      <c r="W41" s="2">
        <f t="shared" si="4"/>
        <v>0.149537178654869</v>
      </c>
      <c r="X41" s="2">
        <f t="shared" si="5"/>
        <v>0.14953717865487</v>
      </c>
      <c r="Y41" s="2">
        <f t="shared" si="6"/>
        <v>0.149537178654872</v>
      </c>
      <c r="Z41" s="2">
        <f t="shared" si="7"/>
        <v>1.07316440257946</v>
      </c>
      <c r="AA41" s="2">
        <f t="shared" si="8"/>
        <v>1.02999673740434</v>
      </c>
      <c r="AB41" s="2">
        <f t="shared" si="9"/>
        <v>0.141598679631469</v>
      </c>
      <c r="AC41" s="2">
        <f t="shared" si="10"/>
        <v>0.151505768565738</v>
      </c>
      <c r="AD41" s="2">
        <f t="shared" si="11"/>
        <v>74.050000000002</v>
      </c>
      <c r="AE41" s="2">
        <f t="shared" si="12"/>
        <v>2.00373051484348e-12</v>
      </c>
    </row>
    <row r="42" spans="1:31">
      <c r="A42" s="2">
        <v>22400</v>
      </c>
      <c r="B42" s="2">
        <v>930</v>
      </c>
      <c r="C42" s="4">
        <v>0.3</v>
      </c>
      <c r="D42" s="2">
        <f t="shared" ref="D42:D105" si="13">IFERROR(MEDIAN(0.0001,5,C42-(($B$6*NORMSDIST((LN($B$6/A42)+($B$5+C42^2/2)*$B$4)/(C42*SQRT($B$4)))-A42*EXP(-$B$5*$B$4)*NORMSDIST(((LN($B$6/A42)+($B$5+C42^2/2)*$B$4)/(C42*SQRT($B$4))-C42*SQRT($B$4))))-B42)/($B$6*SQRT($B$4)*NORMDIST((LN($B$6/A42)+($B$5+C42^2/2)*$B$4)/(C42*SQRT($B$4)),0,1,FALSE()))),C42)</f>
        <v>0.108344973388976</v>
      </c>
      <c r="E42" s="2">
        <f t="shared" ref="E42:E105" si="14">IFERROR(MEDIAN(0.0001,5,D42-(($B$6*NORMSDIST((LN($B$6/A42)+($B$5+D42^2/2)*$B$4)/(D42*SQRT($B$4)))-A42*EXP(-$B$5*$B$4)*NORMSDIST(((LN($B$6/A42)+($B$5+D42^2/2)*$B$4)/(D42*SQRT($B$4))-D42*SQRT($B$4))))-B42)/($B$6*SQRT($B$4)*NORMDIST((LN($B$6/A42)+($B$5+D42^2/2)*$B$4)/(D42*SQRT($B$4)),0,1,FALSE()))),D42)</f>
        <v>0.0293796945284349</v>
      </c>
      <c r="F42" s="2">
        <f t="shared" ref="F42:F105" si="15">IFERROR(MEDIAN(0.0001,5,E42-(($B$6*NORMSDIST((LN($B$6/A42)+($B$5+E42^2/2)*$B$4)/(E42*SQRT($B$4)))-A42*EXP(-$B$5*$B$4)*NORMSDIST(((LN($B$6/A42)+($B$5+E42^2/2)*$B$4)/(E42*SQRT($B$4))-E42*SQRT($B$4))))-B42)/($B$6*SQRT($B$4)*NORMDIST((LN($B$6/A42)+($B$5+E42^2/2)*$B$4)/(E42*SQRT($B$4)),0,1,FALSE()))),E42)</f>
        <v>0.0001</v>
      </c>
      <c r="G42" s="2">
        <f t="shared" ref="G42:G105" si="16">IFERROR(MEDIAN(0.0001,5,F42-(($B$6*NORMSDIST((LN($B$6/A42)+($B$5+F42^2/2)*$B$4)/(F42*SQRT($B$4)))-A42*EXP(-$B$5*$B$4)*NORMSDIST(((LN($B$6/A42)+($B$5+F42^2/2)*$B$4)/(F42*SQRT($B$4))-F42*SQRT($B$4))))-B42)/($B$6*SQRT($B$4)*NORMDIST((LN($B$6/A42)+($B$5+F42^2/2)*$B$4)/(F42*SQRT($B$4)),0,1,FALSE()))),F42)</f>
        <v>0.0001</v>
      </c>
      <c r="H42" s="2">
        <f t="shared" ref="H42:H105" si="17">IFERROR(MEDIAN(0.0001,5,G42-(($B$6*NORMSDIST((LN($B$6/A42)+($B$5+G42^2/2)*$B$4)/(G42*SQRT($B$4)))-A42*EXP(-$B$5*$B$4)*NORMSDIST(((LN($B$6/A42)+($B$5+G42^2/2)*$B$4)/(G42*SQRT($B$4))-G42*SQRT($B$4))))-B42)/($B$6*SQRT($B$4)*NORMDIST((LN($B$6/A42)+($B$5+G42^2/2)*$B$4)/(G42*SQRT($B$4)),0,1,FALSE()))),G42)</f>
        <v>0.0001</v>
      </c>
      <c r="I42" s="2">
        <f t="shared" ref="I42:I105" si="18">IFERROR(MEDIAN(0.0001,5,H42-(($B$6*NORMSDIST((LN($B$6/A42)+($B$5+H42^2/2)*$B$4)/(H42*SQRT($B$4)))-A42*EXP(-$B$5*$B$4)*NORMSDIST(((LN($B$6/A42)+($B$5+H42^2/2)*$B$4)/(H42*SQRT($B$4))-H42*SQRT($B$4))))-B42)/($B$6*SQRT($B$4)*NORMDIST((LN($B$6/A42)+($B$5+H42^2/2)*$B$4)/(H42*SQRT($B$4)),0,1,FALSE()))),H42)</f>
        <v>0.0001</v>
      </c>
      <c r="J42" s="2">
        <f t="shared" ref="J42:J105" si="19">IFERROR(MEDIAN(0.0001,5,I42-(($B$6*NORMSDIST((LN($B$6/A42)+($B$5+I42^2/2)*$B$4)/(I42*SQRT($B$4)))-A42*EXP(-$B$5*$B$4)*NORMSDIST(((LN($B$6/A42)+($B$5+I42^2/2)*$B$4)/(I42*SQRT($B$4))-I42*SQRT($B$4))))-B42)/($B$6*SQRT($B$4)*NORMDIST((LN($B$6/A42)+($B$5+I42^2/2)*$B$4)/(I42*SQRT($B$4)),0,1,FALSE()))),I42)</f>
        <v>0.0001</v>
      </c>
      <c r="K42" s="2">
        <f t="shared" ref="K42:K105" si="20">(LN($B$6/A42)+($B$5+J42^2/2)*$B$4)/(J42*SQRT($B$4))</f>
        <v>1495.09380591112</v>
      </c>
      <c r="L42" s="2">
        <f t="shared" ref="L42:L105" si="21">K42-J42*SQRT($B$4)</f>
        <v>1495.09377704361</v>
      </c>
      <c r="M42" s="2">
        <f t="shared" ref="M42:M105" si="22">NORMSDIST(K42)</f>
        <v>1</v>
      </c>
      <c r="N42" s="2">
        <f t="shared" ref="N42:N105" si="23">NORMSDIST(L42)</f>
        <v>1</v>
      </c>
      <c r="O42" s="2">
        <f t="shared" ref="O42:O105" si="24">$B$6*M42-A42*EXP(-$B$5*$B$4)*N42</f>
        <v>982.605314745244</v>
      </c>
      <c r="P42" s="2">
        <f t="shared" ref="P42:P105" si="25">O42-B42</f>
        <v>52.605314745244</v>
      </c>
      <c r="Q42" s="2">
        <v>80.8</v>
      </c>
      <c r="R42" s="4">
        <v>0.3</v>
      </c>
      <c r="S42" s="2">
        <f t="shared" si="0"/>
        <v>0.166011729393374</v>
      </c>
      <c r="T42" s="2">
        <f t="shared" si="1"/>
        <v>0.149625799666138</v>
      </c>
      <c r="U42" s="2">
        <f t="shared" si="2"/>
        <v>0.148850871307925</v>
      </c>
      <c r="V42" s="2">
        <f t="shared" si="3"/>
        <v>0.148848851204487</v>
      </c>
      <c r="W42" s="2">
        <f t="shared" si="4"/>
        <v>0.148848851190663</v>
      </c>
      <c r="X42" s="2">
        <f t="shared" si="5"/>
        <v>0.148848851190663</v>
      </c>
      <c r="Y42" s="2">
        <f t="shared" si="6"/>
        <v>0.148848851190662</v>
      </c>
      <c r="Z42" s="2">
        <f t="shared" si="7"/>
        <v>1.02592205618506</v>
      </c>
      <c r="AA42" s="2">
        <f t="shared" si="8"/>
        <v>0.982953094033314</v>
      </c>
      <c r="AB42" s="2">
        <f t="shared" si="9"/>
        <v>0.152464162635318</v>
      </c>
      <c r="AC42" s="2">
        <f t="shared" si="10"/>
        <v>0.162815262394153</v>
      </c>
      <c r="AD42" s="2">
        <f t="shared" si="11"/>
        <v>80.7999999999975</v>
      </c>
      <c r="AE42" s="2">
        <f t="shared" si="12"/>
        <v>-2.54374299402116e-12</v>
      </c>
    </row>
    <row r="43" spans="1:31">
      <c r="A43" s="2">
        <v>22450</v>
      </c>
      <c r="B43" s="2">
        <v>849.55</v>
      </c>
      <c r="C43" s="4">
        <v>0.3</v>
      </c>
      <c r="D43" s="2">
        <f t="shared" si="13"/>
        <v>0.0908561842937965</v>
      </c>
      <c r="E43" s="2">
        <f t="shared" si="14"/>
        <v>0.0001</v>
      </c>
      <c r="F43" s="2">
        <f t="shared" si="15"/>
        <v>0.0001</v>
      </c>
      <c r="G43" s="2">
        <f t="shared" si="16"/>
        <v>0.0001</v>
      </c>
      <c r="H43" s="2">
        <f t="shared" si="17"/>
        <v>0.0001</v>
      </c>
      <c r="I43" s="2">
        <f t="shared" si="18"/>
        <v>0.0001</v>
      </c>
      <c r="J43" s="2">
        <f t="shared" si="19"/>
        <v>0.0001</v>
      </c>
      <c r="K43" s="2">
        <f t="shared" si="20"/>
        <v>1417.85627970719</v>
      </c>
      <c r="L43" s="2">
        <f t="shared" si="21"/>
        <v>1417.85625083968</v>
      </c>
      <c r="M43" s="2">
        <f t="shared" si="22"/>
        <v>1</v>
      </c>
      <c r="N43" s="2">
        <f t="shared" si="23"/>
        <v>1</v>
      </c>
      <c r="O43" s="2">
        <f t="shared" si="24"/>
        <v>932.875415894228</v>
      </c>
      <c r="P43" s="2">
        <f t="shared" si="25"/>
        <v>83.3254158942284</v>
      </c>
      <c r="Q43" s="2">
        <v>87.9</v>
      </c>
      <c r="R43" s="4">
        <v>0.3</v>
      </c>
      <c r="S43" s="2">
        <f t="shared" si="0"/>
        <v>0.163870503251088</v>
      </c>
      <c r="T43" s="2">
        <f t="shared" si="1"/>
        <v>0.148670217383153</v>
      </c>
      <c r="U43" s="2">
        <f t="shared" si="2"/>
        <v>0.14805636257482</v>
      </c>
      <c r="V43" s="2">
        <f t="shared" si="3"/>
        <v>0.14805520281981</v>
      </c>
      <c r="W43" s="2">
        <f t="shared" si="4"/>
        <v>0.148055202815646</v>
      </c>
      <c r="X43" s="2">
        <f t="shared" si="5"/>
        <v>0.148055202815646</v>
      </c>
      <c r="Y43" s="2">
        <f t="shared" si="6"/>
        <v>0.148055202815647</v>
      </c>
      <c r="Z43" s="2">
        <f t="shared" si="7"/>
        <v>0.979023720648536</v>
      </c>
      <c r="AA43" s="2">
        <f t="shared" si="8"/>
        <v>0.936283865048267</v>
      </c>
      <c r="AB43" s="2">
        <f t="shared" si="9"/>
        <v>0.16378412960285</v>
      </c>
      <c r="AC43" s="2">
        <f t="shared" si="10"/>
        <v>0.174563526657685</v>
      </c>
      <c r="AD43" s="2">
        <f t="shared" si="11"/>
        <v>87.900000000001</v>
      </c>
      <c r="AE43" s="2">
        <f t="shared" si="12"/>
        <v>9.9475983006414e-13</v>
      </c>
    </row>
    <row r="44" spans="1:31">
      <c r="A44" s="2">
        <v>22500</v>
      </c>
      <c r="B44" s="2">
        <v>849.9</v>
      </c>
      <c r="C44" s="4">
        <v>0.3</v>
      </c>
      <c r="D44" s="2">
        <f t="shared" si="13"/>
        <v>0.10753576799872</v>
      </c>
      <c r="E44" s="2">
        <f t="shared" si="14"/>
        <v>0.0501420473044985</v>
      </c>
      <c r="F44" s="2">
        <f t="shared" si="15"/>
        <v>0.0001</v>
      </c>
      <c r="G44" s="2">
        <f t="shared" si="16"/>
        <v>0.0001</v>
      </c>
      <c r="H44" s="2">
        <f t="shared" si="17"/>
        <v>0.0001</v>
      </c>
      <c r="I44" s="2">
        <f t="shared" si="18"/>
        <v>0.0001</v>
      </c>
      <c r="J44" s="2">
        <f t="shared" si="19"/>
        <v>0.0001</v>
      </c>
      <c r="K44" s="2">
        <f t="shared" si="20"/>
        <v>1340.79058351435</v>
      </c>
      <c r="L44" s="2">
        <f t="shared" si="21"/>
        <v>1340.79055464683</v>
      </c>
      <c r="M44" s="2">
        <f t="shared" si="22"/>
        <v>1</v>
      </c>
      <c r="N44" s="2">
        <f t="shared" si="23"/>
        <v>1</v>
      </c>
      <c r="O44" s="2">
        <f t="shared" si="24"/>
        <v>883.145517043216</v>
      </c>
      <c r="P44" s="2">
        <f t="shared" si="25"/>
        <v>33.2455170432164</v>
      </c>
      <c r="Q44" s="2">
        <v>94</v>
      </c>
      <c r="R44" s="4">
        <v>0.3</v>
      </c>
      <c r="S44" s="2">
        <f t="shared" si="0"/>
        <v>0.161099371226946</v>
      </c>
      <c r="T44" s="2">
        <f t="shared" si="1"/>
        <v>0.146873336983966</v>
      </c>
      <c r="U44" s="2">
        <f t="shared" si="2"/>
        <v>0.146373215740026</v>
      </c>
      <c r="V44" s="2">
        <f t="shared" si="3"/>
        <v>0.146372502743217</v>
      </c>
      <c r="W44" s="2">
        <f t="shared" si="4"/>
        <v>0.14637250274176</v>
      </c>
      <c r="X44" s="2">
        <f t="shared" si="5"/>
        <v>0.146372502741761</v>
      </c>
      <c r="Y44" s="2">
        <f t="shared" si="6"/>
        <v>0.146372502741761</v>
      </c>
      <c r="Z44" s="2">
        <f t="shared" si="7"/>
        <v>0.937139651669151</v>
      </c>
      <c r="AA44" s="2">
        <f t="shared" si="8"/>
        <v>0.894885549739193</v>
      </c>
      <c r="AB44" s="2">
        <f t="shared" si="9"/>
        <v>0.174343363681193</v>
      </c>
      <c r="AC44" s="2">
        <f t="shared" si="10"/>
        <v>0.185424136048656</v>
      </c>
      <c r="AD44" s="2">
        <f t="shared" si="11"/>
        <v>93.9999999999991</v>
      </c>
      <c r="AE44" s="2">
        <f t="shared" si="12"/>
        <v>-9.09494701772928e-13</v>
      </c>
    </row>
    <row r="45" spans="1:31">
      <c r="A45" s="2">
        <v>22550</v>
      </c>
      <c r="B45" s="2">
        <v>772.55</v>
      </c>
      <c r="C45" s="4">
        <v>0.3</v>
      </c>
      <c r="D45" s="2">
        <f t="shared" si="13"/>
        <v>0.0911956366886689</v>
      </c>
      <c r="E45" s="2">
        <f t="shared" si="14"/>
        <v>0.00814779241268436</v>
      </c>
      <c r="F45" s="2">
        <f t="shared" si="15"/>
        <v>0.0001</v>
      </c>
      <c r="G45" s="2">
        <f t="shared" si="16"/>
        <v>0.0001</v>
      </c>
      <c r="H45" s="2">
        <f t="shared" si="17"/>
        <v>0.0001</v>
      </c>
      <c r="I45" s="2">
        <f t="shared" si="18"/>
        <v>0.0001</v>
      </c>
      <c r="J45" s="2">
        <f t="shared" si="19"/>
        <v>0.0001</v>
      </c>
      <c r="K45" s="2">
        <f t="shared" si="20"/>
        <v>1263.89595449032</v>
      </c>
      <c r="L45" s="2">
        <f t="shared" si="21"/>
        <v>1263.89592562281</v>
      </c>
      <c r="M45" s="2">
        <f t="shared" si="22"/>
        <v>1</v>
      </c>
      <c r="N45" s="2">
        <f t="shared" si="23"/>
        <v>1</v>
      </c>
      <c r="O45" s="2">
        <f t="shared" si="24"/>
        <v>833.415618192201</v>
      </c>
      <c r="P45" s="2">
        <f t="shared" si="25"/>
        <v>60.8656181922008</v>
      </c>
      <c r="Q45" s="2">
        <v>102.35</v>
      </c>
      <c r="R45" s="4">
        <v>0.3</v>
      </c>
      <c r="S45" s="2">
        <f t="shared" si="0"/>
        <v>0.159065127263669</v>
      </c>
      <c r="T45" s="2">
        <f t="shared" si="1"/>
        <v>0.146074129618865</v>
      </c>
      <c r="U45" s="2">
        <f t="shared" si="2"/>
        <v>0.145694972280986</v>
      </c>
      <c r="V45" s="2">
        <f t="shared" si="3"/>
        <v>0.145694602667299</v>
      </c>
      <c r="W45" s="2">
        <f t="shared" si="4"/>
        <v>0.145694602666947</v>
      </c>
      <c r="X45" s="2">
        <f t="shared" si="5"/>
        <v>0.145694602666946</v>
      </c>
      <c r="Y45" s="2">
        <f t="shared" si="6"/>
        <v>0.145694602666946</v>
      </c>
      <c r="Z45" s="2">
        <f t="shared" si="7"/>
        <v>0.888525952455048</v>
      </c>
      <c r="AA45" s="2">
        <f t="shared" si="8"/>
        <v>0.846467543420429</v>
      </c>
      <c r="AB45" s="2">
        <f t="shared" si="9"/>
        <v>0.187128951053925</v>
      </c>
      <c r="AC45" s="2">
        <f t="shared" si="10"/>
        <v>0.198645986317545</v>
      </c>
      <c r="AD45" s="2">
        <f t="shared" si="11"/>
        <v>102.350000000001</v>
      </c>
      <c r="AE45" s="2">
        <f t="shared" si="12"/>
        <v>1.27897692436818e-12</v>
      </c>
    </row>
    <row r="46" spans="1:31">
      <c r="A46" s="2">
        <v>22600</v>
      </c>
      <c r="B46" s="2">
        <v>760.35</v>
      </c>
      <c r="C46" s="4">
        <v>0.3</v>
      </c>
      <c r="D46" s="2">
        <f t="shared" si="13"/>
        <v>0.101713673815445</v>
      </c>
      <c r="E46" s="2">
        <f t="shared" si="14"/>
        <v>0.0539763341483101</v>
      </c>
      <c r="F46" s="2">
        <f t="shared" si="15"/>
        <v>0.0001</v>
      </c>
      <c r="G46" s="2">
        <f t="shared" si="16"/>
        <v>0.0001</v>
      </c>
      <c r="H46" s="2">
        <f t="shared" si="17"/>
        <v>0.0001</v>
      </c>
      <c r="I46" s="2">
        <f t="shared" si="18"/>
        <v>0.0001</v>
      </c>
      <c r="J46" s="2">
        <f t="shared" si="19"/>
        <v>0.0001</v>
      </c>
      <c r="K46" s="2">
        <f t="shared" si="20"/>
        <v>1187.17163486156</v>
      </c>
      <c r="L46" s="2">
        <f t="shared" si="21"/>
        <v>1187.17160599404</v>
      </c>
      <c r="M46" s="2">
        <f t="shared" si="22"/>
        <v>1</v>
      </c>
      <c r="N46" s="2">
        <f t="shared" si="23"/>
        <v>1</v>
      </c>
      <c r="O46" s="2">
        <f t="shared" si="24"/>
        <v>783.685719341185</v>
      </c>
      <c r="P46" s="2">
        <f t="shared" si="25"/>
        <v>23.3357193411852</v>
      </c>
      <c r="Q46" s="2">
        <v>110.75</v>
      </c>
      <c r="R46" s="4">
        <v>0.3</v>
      </c>
      <c r="S46" s="2">
        <f t="shared" si="0"/>
        <v>0.156829602220768</v>
      </c>
      <c r="T46" s="2">
        <f t="shared" si="1"/>
        <v>0.144999189519782</v>
      </c>
      <c r="U46" s="2">
        <f t="shared" si="2"/>
        <v>0.144713648332627</v>
      </c>
      <c r="V46" s="2">
        <f t="shared" si="3"/>
        <v>0.14471345944915</v>
      </c>
      <c r="W46" s="2">
        <f t="shared" si="4"/>
        <v>0.144713459449066</v>
      </c>
      <c r="X46" s="2">
        <f t="shared" si="5"/>
        <v>0.144713459449066</v>
      </c>
      <c r="Y46" s="2">
        <f t="shared" si="6"/>
        <v>0.144713459449066</v>
      </c>
      <c r="Z46" s="2">
        <f t="shared" si="7"/>
        <v>0.841247785281552</v>
      </c>
      <c r="AA46" s="2">
        <f t="shared" si="8"/>
        <v>0.799472607897412</v>
      </c>
      <c r="AB46" s="2">
        <f t="shared" si="9"/>
        <v>0.200104567730456</v>
      </c>
      <c r="AC46" s="2">
        <f t="shared" si="10"/>
        <v>0.212008211848163</v>
      </c>
      <c r="AD46" s="2">
        <f t="shared" si="11"/>
        <v>110.75</v>
      </c>
      <c r="AE46" s="2">
        <f t="shared" si="12"/>
        <v>0</v>
      </c>
    </row>
    <row r="47" spans="1:31">
      <c r="A47" s="2">
        <v>22650</v>
      </c>
      <c r="B47" s="2">
        <v>714.2</v>
      </c>
      <c r="C47" s="4">
        <v>0.3</v>
      </c>
      <c r="D47" s="2">
        <f t="shared" si="13"/>
        <v>0.0978923785794281</v>
      </c>
      <c r="E47" s="2">
        <f t="shared" si="14"/>
        <v>0.0537080377588668</v>
      </c>
      <c r="F47" s="2">
        <f t="shared" si="15"/>
        <v>0.0001</v>
      </c>
      <c r="G47" s="2">
        <f t="shared" si="16"/>
        <v>0.0001</v>
      </c>
      <c r="H47" s="2">
        <f t="shared" si="17"/>
        <v>0.0001</v>
      </c>
      <c r="I47" s="2">
        <f t="shared" si="18"/>
        <v>0.0001</v>
      </c>
      <c r="J47" s="2">
        <f t="shared" si="19"/>
        <v>0.0001</v>
      </c>
      <c r="K47" s="2">
        <f t="shared" si="20"/>
        <v>1110.61687187843</v>
      </c>
      <c r="L47" s="2">
        <f t="shared" si="21"/>
        <v>1110.61684301092</v>
      </c>
      <c r="M47" s="2">
        <f t="shared" si="22"/>
        <v>1</v>
      </c>
      <c r="N47" s="2">
        <f t="shared" si="23"/>
        <v>1</v>
      </c>
      <c r="O47" s="2">
        <f t="shared" si="24"/>
        <v>733.95582049017</v>
      </c>
      <c r="P47" s="2">
        <f t="shared" si="25"/>
        <v>19.7558204901695</v>
      </c>
      <c r="Q47" s="2">
        <v>121.45</v>
      </c>
      <c r="R47" s="4">
        <v>0.3</v>
      </c>
      <c r="S47" s="2">
        <f t="shared" si="0"/>
        <v>0.155307083013717</v>
      </c>
      <c r="T47" s="2">
        <f t="shared" si="1"/>
        <v>0.144796464400725</v>
      </c>
      <c r="U47" s="2">
        <f t="shared" si="2"/>
        <v>0.144596446566225</v>
      </c>
      <c r="V47" s="2">
        <f t="shared" si="3"/>
        <v>0.144596365194011</v>
      </c>
      <c r="W47" s="2">
        <f t="shared" si="4"/>
        <v>0.144596365193997</v>
      </c>
      <c r="X47" s="2">
        <f t="shared" si="5"/>
        <v>0.144596365193998</v>
      </c>
      <c r="Y47" s="2">
        <f t="shared" si="6"/>
        <v>0.144596365193999</v>
      </c>
      <c r="Z47" s="2">
        <f t="shared" si="7"/>
        <v>0.788951445330845</v>
      </c>
      <c r="AA47" s="2">
        <f t="shared" si="8"/>
        <v>0.747210070146547</v>
      </c>
      <c r="AB47" s="2">
        <f t="shared" si="9"/>
        <v>0.215070192883108</v>
      </c>
      <c r="AC47" s="2">
        <f t="shared" si="10"/>
        <v>0.227468383197857</v>
      </c>
      <c r="AD47" s="2">
        <f t="shared" si="11"/>
        <v>121.450000000002</v>
      </c>
      <c r="AE47" s="2">
        <f t="shared" si="12"/>
        <v>1.63424829224823e-12</v>
      </c>
    </row>
    <row r="48" spans="1:31">
      <c r="A48" s="2">
        <v>22700</v>
      </c>
      <c r="B48" s="2">
        <v>681.15</v>
      </c>
      <c r="C48" s="4">
        <v>0.3</v>
      </c>
      <c r="D48" s="2">
        <f t="shared" si="13"/>
        <v>0.0991178914115287</v>
      </c>
      <c r="E48" s="2">
        <f t="shared" si="14"/>
        <v>0.0642853765899645</v>
      </c>
      <c r="F48" s="2">
        <f t="shared" si="15"/>
        <v>0.0466530017582912</v>
      </c>
      <c r="G48" s="2">
        <f t="shared" si="16"/>
        <v>0.0266912468587886</v>
      </c>
      <c r="H48" s="2">
        <f t="shared" si="17"/>
        <v>0.0001</v>
      </c>
      <c r="I48" s="2">
        <f t="shared" si="18"/>
        <v>0.0001</v>
      </c>
      <c r="J48" s="2">
        <f t="shared" si="19"/>
        <v>0.0001</v>
      </c>
      <c r="K48" s="2">
        <f t="shared" si="20"/>
        <v>1034.23091777091</v>
      </c>
      <c r="L48" s="2">
        <f t="shared" si="21"/>
        <v>1034.2308889034</v>
      </c>
      <c r="M48" s="2">
        <f t="shared" si="22"/>
        <v>1</v>
      </c>
      <c r="N48" s="2">
        <f t="shared" si="23"/>
        <v>1</v>
      </c>
      <c r="O48" s="2">
        <f t="shared" si="24"/>
        <v>684.225921639154</v>
      </c>
      <c r="P48" s="2">
        <f t="shared" si="25"/>
        <v>3.07592163915399</v>
      </c>
      <c r="Q48" s="2">
        <v>130.15</v>
      </c>
      <c r="R48" s="4">
        <v>0.3</v>
      </c>
      <c r="S48" s="2">
        <f t="shared" si="0"/>
        <v>0.152737975221146</v>
      </c>
      <c r="T48" s="2">
        <f t="shared" si="1"/>
        <v>0.143263997825065</v>
      </c>
      <c r="U48" s="2">
        <f t="shared" si="2"/>
        <v>0.143117456461056</v>
      </c>
      <c r="V48" s="2">
        <f t="shared" si="3"/>
        <v>0.143117417380816</v>
      </c>
      <c r="W48" s="2">
        <f t="shared" si="4"/>
        <v>0.143117417380813</v>
      </c>
      <c r="X48" s="2">
        <f t="shared" si="5"/>
        <v>0.143117417380813</v>
      </c>
      <c r="Y48" s="2">
        <f t="shared" si="6"/>
        <v>0.143117417380813</v>
      </c>
      <c r="Z48" s="2">
        <f t="shared" si="7"/>
        <v>0.743302249562431</v>
      </c>
      <c r="AA48" s="2">
        <f t="shared" si="8"/>
        <v>0.701987809837163</v>
      </c>
      <c r="AB48" s="2">
        <f t="shared" si="9"/>
        <v>0.228649354969951</v>
      </c>
      <c r="AC48" s="2">
        <f t="shared" si="10"/>
        <v>0.241343382833501</v>
      </c>
      <c r="AD48" s="2">
        <f t="shared" si="11"/>
        <v>130.149999999998</v>
      </c>
      <c r="AE48" s="2">
        <f t="shared" si="12"/>
        <v>-2.18847162614111e-12</v>
      </c>
    </row>
    <row r="49" spans="1:31">
      <c r="A49" s="2">
        <v>22750</v>
      </c>
      <c r="B49" s="2">
        <v>648.95</v>
      </c>
      <c r="C49" s="4">
        <v>0.3</v>
      </c>
      <c r="D49" s="2">
        <f t="shared" si="13"/>
        <v>0.100352452504813</v>
      </c>
      <c r="E49" s="2">
        <f t="shared" si="14"/>
        <v>0.0729701003362051</v>
      </c>
      <c r="F49" s="2">
        <f t="shared" si="15"/>
        <v>0.0667407875795209</v>
      </c>
      <c r="G49" s="2">
        <f t="shared" si="16"/>
        <v>0.0661790745972136</v>
      </c>
      <c r="H49" s="2">
        <f t="shared" si="17"/>
        <v>0.0661741050952957</v>
      </c>
      <c r="I49" s="2">
        <f t="shared" si="18"/>
        <v>0.0661741047042425</v>
      </c>
      <c r="J49" s="2">
        <f t="shared" si="19"/>
        <v>0.0661741047042418</v>
      </c>
      <c r="K49" s="2">
        <f t="shared" si="20"/>
        <v>1.45726727874299</v>
      </c>
      <c r="L49" s="2">
        <f t="shared" si="21"/>
        <v>1.43816446016081</v>
      </c>
      <c r="M49" s="2">
        <f t="shared" si="22"/>
        <v>0.927478692285684</v>
      </c>
      <c r="N49" s="2">
        <f t="shared" si="23"/>
        <v>0.924806301749763</v>
      </c>
      <c r="O49" s="2">
        <f t="shared" si="24"/>
        <v>648.950000000001</v>
      </c>
      <c r="P49" s="2">
        <f t="shared" si="25"/>
        <v>0</v>
      </c>
      <c r="Q49" s="2">
        <v>140.3</v>
      </c>
      <c r="R49" s="4">
        <v>0.3</v>
      </c>
      <c r="S49" s="2">
        <f t="shared" si="0"/>
        <v>0.150521615006611</v>
      </c>
      <c r="T49" s="2">
        <f t="shared" si="1"/>
        <v>0.142142013283732</v>
      </c>
      <c r="U49" s="2">
        <f t="shared" si="2"/>
        <v>0.142040402729006</v>
      </c>
      <c r="V49" s="2">
        <f t="shared" si="3"/>
        <v>0.142040386231226</v>
      </c>
      <c r="W49" s="2">
        <f t="shared" si="4"/>
        <v>0.142040386231226</v>
      </c>
      <c r="X49" s="2">
        <f t="shared" si="5"/>
        <v>0.142040386231226</v>
      </c>
      <c r="Y49" s="2">
        <f t="shared" si="6"/>
        <v>0.142040386231228</v>
      </c>
      <c r="Z49" s="2">
        <f t="shared" si="7"/>
        <v>0.694966992105453</v>
      </c>
      <c r="AA49" s="2">
        <f t="shared" si="8"/>
        <v>0.653963464492254</v>
      </c>
      <c r="AB49" s="2">
        <f t="shared" si="9"/>
        <v>0.243537993751253</v>
      </c>
      <c r="AC49" s="2">
        <f t="shared" si="10"/>
        <v>0.256567672172756</v>
      </c>
      <c r="AD49" s="2">
        <f t="shared" si="11"/>
        <v>140.300000000003</v>
      </c>
      <c r="AE49" s="2">
        <f t="shared" si="12"/>
        <v>2.89901436190121e-12</v>
      </c>
    </row>
    <row r="50" spans="1:31">
      <c r="A50" s="2">
        <v>22800</v>
      </c>
      <c r="B50" s="2">
        <v>608.85</v>
      </c>
      <c r="C50" s="4">
        <v>0.3</v>
      </c>
      <c r="D50" s="2">
        <f t="shared" si="13"/>
        <v>0.098136770270245</v>
      </c>
      <c r="E50" s="2">
        <f t="shared" si="14"/>
        <v>0.0746870850331755</v>
      </c>
      <c r="F50" s="2">
        <f t="shared" si="15"/>
        <v>0.0710400076088129</v>
      </c>
      <c r="G50" s="2">
        <f t="shared" si="16"/>
        <v>0.0709028603004074</v>
      </c>
      <c r="H50" s="2">
        <f t="shared" si="17"/>
        <v>0.0709026554627643</v>
      </c>
      <c r="I50" s="2">
        <f t="shared" si="18"/>
        <v>0.0709026554623063</v>
      </c>
      <c r="J50" s="2">
        <f t="shared" si="19"/>
        <v>0.0709026554623046</v>
      </c>
      <c r="K50" s="2">
        <f t="shared" si="20"/>
        <v>1.25414001531905</v>
      </c>
      <c r="L50" s="2">
        <f t="shared" si="21"/>
        <v>1.23367218171034</v>
      </c>
      <c r="M50" s="2">
        <f t="shared" si="22"/>
        <v>0.895104440966583</v>
      </c>
      <c r="N50" s="2">
        <f t="shared" si="23"/>
        <v>0.891337458062182</v>
      </c>
      <c r="O50" s="2">
        <f t="shared" si="24"/>
        <v>608.849999999999</v>
      </c>
      <c r="P50" s="2">
        <f t="shared" si="25"/>
        <v>-1.47792889038101e-12</v>
      </c>
      <c r="Q50" s="2">
        <v>153.35</v>
      </c>
      <c r="R50" s="4">
        <v>0.3</v>
      </c>
      <c r="S50" s="2">
        <f t="shared" si="0"/>
        <v>0.149214216457656</v>
      </c>
      <c r="T50" s="2">
        <f t="shared" si="1"/>
        <v>0.142038801658694</v>
      </c>
      <c r="U50" s="2">
        <f t="shared" si="2"/>
        <v>0.14197478909126</v>
      </c>
      <c r="V50" s="2">
        <f t="shared" si="3"/>
        <v>0.141974783532827</v>
      </c>
      <c r="W50" s="2">
        <f t="shared" si="4"/>
        <v>0.141974783532827</v>
      </c>
      <c r="X50" s="2">
        <f t="shared" si="5"/>
        <v>0.141974783532827</v>
      </c>
      <c r="Y50" s="2">
        <f t="shared" si="6"/>
        <v>0.141974783532828</v>
      </c>
      <c r="Z50" s="2">
        <f t="shared" si="7"/>
        <v>0.641702930563191</v>
      </c>
      <c r="AA50" s="2">
        <f t="shared" si="8"/>
        <v>0.600718340817782</v>
      </c>
      <c r="AB50" s="2">
        <f t="shared" si="9"/>
        <v>0.260533043041107</v>
      </c>
      <c r="AC50" s="2">
        <f t="shared" si="10"/>
        <v>0.274013800514018</v>
      </c>
      <c r="AD50" s="2">
        <f t="shared" si="11"/>
        <v>153.350000000001</v>
      </c>
      <c r="AE50" s="2">
        <f t="shared" si="12"/>
        <v>1.27897692436818e-12</v>
      </c>
    </row>
    <row r="51" spans="1:31">
      <c r="A51" s="2">
        <v>22850</v>
      </c>
      <c r="B51" s="2">
        <v>564.35</v>
      </c>
      <c r="C51" s="4">
        <v>0.3</v>
      </c>
      <c r="D51" s="2">
        <f t="shared" si="13"/>
        <v>0.0939259559384192</v>
      </c>
      <c r="E51" s="2">
        <f t="shared" si="14"/>
        <v>0.0730552745962557</v>
      </c>
      <c r="F51" s="2">
        <f t="shared" si="15"/>
        <v>0.0704614558004029</v>
      </c>
      <c r="G51" s="2">
        <f t="shared" si="16"/>
        <v>0.0704015306091799</v>
      </c>
      <c r="H51" s="2">
        <f t="shared" si="17"/>
        <v>0.0704014972091694</v>
      </c>
      <c r="I51" s="2">
        <f t="shared" si="18"/>
        <v>0.0704014972091598</v>
      </c>
      <c r="J51" s="2">
        <f t="shared" si="19"/>
        <v>0.0704014972091609</v>
      </c>
      <c r="K51" s="2">
        <f t="shared" si="20"/>
        <v>1.15513508609276</v>
      </c>
      <c r="L51" s="2">
        <f t="shared" si="21"/>
        <v>1.13481192441023</v>
      </c>
      <c r="M51" s="2">
        <f t="shared" si="22"/>
        <v>0.875982443888002</v>
      </c>
      <c r="N51" s="2">
        <f t="shared" si="23"/>
        <v>0.871772935537863</v>
      </c>
      <c r="O51" s="2">
        <f t="shared" si="24"/>
        <v>564.350000000002</v>
      </c>
      <c r="P51" s="2">
        <f t="shared" si="25"/>
        <v>2.1600499167107e-12</v>
      </c>
      <c r="Q51" s="2">
        <v>163</v>
      </c>
      <c r="R51" s="4">
        <v>0.3</v>
      </c>
      <c r="S51" s="2">
        <f t="shared" si="0"/>
        <v>0.14631793641856</v>
      </c>
      <c r="T51" s="2">
        <f t="shared" si="1"/>
        <v>0.140049818643763</v>
      </c>
      <c r="U51" s="2">
        <f t="shared" si="2"/>
        <v>0.140006908650246</v>
      </c>
      <c r="V51" s="2">
        <f t="shared" si="3"/>
        <v>0.140006906474439</v>
      </c>
      <c r="W51" s="2">
        <f t="shared" si="4"/>
        <v>0.140006906474438</v>
      </c>
      <c r="X51" s="2">
        <f t="shared" si="5"/>
        <v>0.140006906474438</v>
      </c>
      <c r="Y51" s="2">
        <f t="shared" si="6"/>
        <v>0.140006906474438</v>
      </c>
      <c r="Z51" s="2">
        <f t="shared" si="7"/>
        <v>0.595950204053077</v>
      </c>
      <c r="AA51" s="2">
        <f t="shared" si="8"/>
        <v>0.555533691482365</v>
      </c>
      <c r="AB51" s="2">
        <f t="shared" si="9"/>
        <v>0.275604246579274</v>
      </c>
      <c r="AC51" s="2">
        <f t="shared" si="10"/>
        <v>0.289264835957514</v>
      </c>
      <c r="AD51" s="2">
        <f t="shared" si="11"/>
        <v>163</v>
      </c>
      <c r="AE51" s="2">
        <f t="shared" si="12"/>
        <v>0</v>
      </c>
    </row>
    <row r="52" spans="1:31">
      <c r="A52" s="2">
        <v>22900</v>
      </c>
      <c r="B52" s="2">
        <v>531.45</v>
      </c>
      <c r="C52" s="4">
        <v>0.3</v>
      </c>
      <c r="D52" s="2">
        <f t="shared" si="13"/>
        <v>0.0939814212279116</v>
      </c>
      <c r="E52" s="2">
        <f t="shared" si="14"/>
        <v>0.0776572957348438</v>
      </c>
      <c r="F52" s="2">
        <f t="shared" si="15"/>
        <v>0.0765166815499061</v>
      </c>
      <c r="G52" s="2">
        <f t="shared" si="16"/>
        <v>0.076509095852038</v>
      </c>
      <c r="H52" s="2">
        <f t="shared" si="17"/>
        <v>0.0765090955094439</v>
      </c>
      <c r="I52" s="2">
        <f t="shared" si="18"/>
        <v>0.0765090955094413</v>
      </c>
      <c r="J52" s="2">
        <f t="shared" si="19"/>
        <v>0.0765090955094452</v>
      </c>
      <c r="K52" s="2">
        <f t="shared" si="20"/>
        <v>0.965649105130244</v>
      </c>
      <c r="L52" s="2">
        <f t="shared" si="21"/>
        <v>0.943562831686327</v>
      </c>
      <c r="M52" s="2">
        <f t="shared" si="22"/>
        <v>0.832890102625383</v>
      </c>
      <c r="N52" s="2">
        <f t="shared" si="23"/>
        <v>0.827303453368052</v>
      </c>
      <c r="O52" s="2">
        <f t="shared" si="24"/>
        <v>531.450000000004</v>
      </c>
      <c r="P52" s="2">
        <f t="shared" si="25"/>
        <v>4.32009983342141e-12</v>
      </c>
      <c r="Q52" s="2">
        <v>175.4</v>
      </c>
      <c r="R52" s="4">
        <v>0.3</v>
      </c>
      <c r="S52" s="2">
        <f t="shared" si="0"/>
        <v>0.144255998256771</v>
      </c>
      <c r="T52" s="2">
        <f t="shared" si="1"/>
        <v>0.138972697715093</v>
      </c>
      <c r="U52" s="2">
        <f t="shared" si="2"/>
        <v>0.138946824913939</v>
      </c>
      <c r="V52" s="2">
        <f t="shared" si="3"/>
        <v>0.138946824249576</v>
      </c>
      <c r="W52" s="2">
        <f t="shared" si="4"/>
        <v>0.138946824249578</v>
      </c>
      <c r="X52" s="2">
        <f t="shared" si="5"/>
        <v>0.138946824249576</v>
      </c>
      <c r="Y52" s="2">
        <f t="shared" si="6"/>
        <v>0.138946824249577</v>
      </c>
      <c r="Z52" s="2">
        <f t="shared" si="7"/>
        <v>0.54569546619276</v>
      </c>
      <c r="AA52" s="2">
        <f t="shared" si="8"/>
        <v>0.505584973000992</v>
      </c>
      <c r="AB52" s="2">
        <f t="shared" si="9"/>
        <v>0.292637644482134</v>
      </c>
      <c r="AC52" s="2">
        <f t="shared" si="10"/>
        <v>0.30657401642694</v>
      </c>
      <c r="AD52" s="2">
        <f t="shared" si="11"/>
        <v>175.399999999999</v>
      </c>
      <c r="AE52" s="2">
        <f t="shared" si="12"/>
        <v>-1.27897692436818e-12</v>
      </c>
    </row>
    <row r="53" spans="1:31">
      <c r="A53" s="2">
        <v>22950</v>
      </c>
      <c r="B53" s="2">
        <v>505.75</v>
      </c>
      <c r="C53" s="4">
        <v>0.3</v>
      </c>
      <c r="D53" s="2">
        <f t="shared" si="13"/>
        <v>0.0965053432090142</v>
      </c>
      <c r="E53" s="2">
        <f t="shared" si="14"/>
        <v>0.0846807468237903</v>
      </c>
      <c r="F53" s="2">
        <f t="shared" si="15"/>
        <v>0.0842826260092949</v>
      </c>
      <c r="G53" s="2">
        <f t="shared" si="16"/>
        <v>0.0842820628493058</v>
      </c>
      <c r="H53" s="2">
        <f t="shared" si="17"/>
        <v>0.0842820628481675</v>
      </c>
      <c r="I53" s="2">
        <f t="shared" si="18"/>
        <v>0.0842820628481693</v>
      </c>
      <c r="J53" s="2">
        <f t="shared" si="19"/>
        <v>0.0842820628481693</v>
      </c>
      <c r="K53" s="2">
        <f t="shared" si="20"/>
        <v>0.789088905501079</v>
      </c>
      <c r="L53" s="2">
        <f t="shared" si="21"/>
        <v>0.764758769664455</v>
      </c>
      <c r="M53" s="2">
        <f t="shared" si="22"/>
        <v>0.784969977068834</v>
      </c>
      <c r="N53" s="2">
        <f t="shared" si="23"/>
        <v>0.777792398316959</v>
      </c>
      <c r="O53" s="2">
        <f t="shared" si="24"/>
        <v>505.75</v>
      </c>
      <c r="P53" s="2">
        <f t="shared" si="25"/>
        <v>0</v>
      </c>
      <c r="Q53" s="2">
        <v>190.3</v>
      </c>
      <c r="R53" s="4">
        <v>0.3</v>
      </c>
      <c r="S53" s="2">
        <f t="shared" si="0"/>
        <v>0.142907327197806</v>
      </c>
      <c r="T53" s="2">
        <f t="shared" si="1"/>
        <v>0.138613258525326</v>
      </c>
      <c r="U53" s="2">
        <f t="shared" si="2"/>
        <v>0.138599259689092</v>
      </c>
      <c r="V53" s="2">
        <f t="shared" si="3"/>
        <v>0.138599259531608</v>
      </c>
      <c r="W53" s="2">
        <f t="shared" si="4"/>
        <v>0.138599259531609</v>
      </c>
      <c r="X53" s="2">
        <f t="shared" si="5"/>
        <v>0.138599259531608</v>
      </c>
      <c r="Y53" s="2">
        <f t="shared" si="6"/>
        <v>0.138599259531608</v>
      </c>
      <c r="Z53" s="2">
        <f t="shared" si="7"/>
        <v>0.492451642281457</v>
      </c>
      <c r="AA53" s="2">
        <f t="shared" si="8"/>
        <v>0.452441482381429</v>
      </c>
      <c r="AB53" s="2">
        <f t="shared" si="9"/>
        <v>0.311200049728458</v>
      </c>
      <c r="AC53" s="2">
        <f t="shared" si="10"/>
        <v>0.325475484292251</v>
      </c>
      <c r="AD53" s="2">
        <f t="shared" si="11"/>
        <v>190.3</v>
      </c>
      <c r="AE53" s="2">
        <f t="shared" si="12"/>
        <v>0</v>
      </c>
    </row>
    <row r="54" spans="1:31">
      <c r="A54" s="2">
        <v>23000</v>
      </c>
      <c r="B54" s="2">
        <v>465.3</v>
      </c>
      <c r="C54" s="4">
        <v>0.3</v>
      </c>
      <c r="D54" s="2">
        <f t="shared" si="13"/>
        <v>0.0930234579436026</v>
      </c>
      <c r="E54" s="2">
        <f t="shared" si="14"/>
        <v>0.0833366525481962</v>
      </c>
      <c r="F54" s="2">
        <f t="shared" si="15"/>
        <v>0.0831111518096355</v>
      </c>
      <c r="G54" s="2">
        <f t="shared" si="16"/>
        <v>0.0831110038406761</v>
      </c>
      <c r="H54" s="2">
        <f t="shared" si="17"/>
        <v>0.0831110038406136</v>
      </c>
      <c r="I54" s="2">
        <f t="shared" si="18"/>
        <v>0.0831110038406104</v>
      </c>
      <c r="J54" s="2">
        <f t="shared" si="19"/>
        <v>0.0831110038406108</v>
      </c>
      <c r="K54" s="2">
        <f t="shared" si="20"/>
        <v>0.709158725760001</v>
      </c>
      <c r="L54" s="2">
        <f t="shared" si="21"/>
        <v>0.685166645540002</v>
      </c>
      <c r="M54" s="2">
        <f t="shared" si="22"/>
        <v>0.760887008292614</v>
      </c>
      <c r="N54" s="2">
        <f t="shared" si="23"/>
        <v>0.753380615576039</v>
      </c>
      <c r="O54" s="2">
        <f t="shared" si="24"/>
        <v>465.299999999999</v>
      </c>
      <c r="P54" s="2">
        <f t="shared" si="25"/>
        <v>-7.38964445190504e-13</v>
      </c>
      <c r="Q54" s="2">
        <v>206.15</v>
      </c>
      <c r="R54" s="4">
        <v>0.3</v>
      </c>
      <c r="S54" s="2">
        <f t="shared" si="0"/>
        <v>0.141658036193201</v>
      </c>
      <c r="T54" s="2">
        <f t="shared" si="1"/>
        <v>0.138266350488898</v>
      </c>
      <c r="U54" s="2">
        <f t="shared" si="2"/>
        <v>0.13825938840414</v>
      </c>
      <c r="V54" s="2">
        <f t="shared" si="3"/>
        <v>0.138259388373427</v>
      </c>
      <c r="W54" s="2">
        <f t="shared" si="4"/>
        <v>0.138259388373427</v>
      </c>
      <c r="X54" s="2">
        <f t="shared" si="5"/>
        <v>0.138259388373427</v>
      </c>
      <c r="Y54" s="2">
        <f t="shared" si="6"/>
        <v>0.138259388373427</v>
      </c>
      <c r="Z54" s="2">
        <f t="shared" si="7"/>
        <v>0.439037080953788</v>
      </c>
      <c r="AA54" s="2">
        <f t="shared" si="8"/>
        <v>0.399125033406093</v>
      </c>
      <c r="AB54" s="2">
        <f t="shared" si="9"/>
        <v>0.330317334063461</v>
      </c>
      <c r="AC54" s="2">
        <f t="shared" si="10"/>
        <v>0.344900538812488</v>
      </c>
      <c r="AD54" s="2">
        <f t="shared" si="11"/>
        <v>206.149999999999</v>
      </c>
      <c r="AE54" s="2">
        <f t="shared" si="12"/>
        <v>-1.27897692436818e-12</v>
      </c>
    </row>
    <row r="55" spans="1:31">
      <c r="A55" s="2">
        <v>23050</v>
      </c>
      <c r="B55" s="2">
        <v>432</v>
      </c>
      <c r="C55" s="4">
        <v>0.3</v>
      </c>
      <c r="D55" s="2">
        <f t="shared" si="13"/>
        <v>0.0919989022141904</v>
      </c>
      <c r="E55" s="2">
        <f t="shared" si="14"/>
        <v>0.0847557013481261</v>
      </c>
      <c r="F55" s="2">
        <f t="shared" si="15"/>
        <v>0.084661100119593</v>
      </c>
      <c r="G55" s="2">
        <f t="shared" si="16"/>
        <v>0.0846610814184394</v>
      </c>
      <c r="H55" s="2">
        <f t="shared" si="17"/>
        <v>0.0846610814184378</v>
      </c>
      <c r="I55" s="2">
        <f t="shared" si="18"/>
        <v>0.0846610814184378</v>
      </c>
      <c r="J55" s="2">
        <f t="shared" si="19"/>
        <v>0.0846610814184378</v>
      </c>
      <c r="K55" s="2">
        <f t="shared" si="20"/>
        <v>0.607763887207428</v>
      </c>
      <c r="L55" s="2">
        <f t="shared" si="21"/>
        <v>0.583324338134019</v>
      </c>
      <c r="M55" s="2">
        <f t="shared" si="22"/>
        <v>0.728327958099002</v>
      </c>
      <c r="N55" s="2">
        <f t="shared" si="23"/>
        <v>0.720162509266507</v>
      </c>
      <c r="O55" s="2">
        <f t="shared" si="24"/>
        <v>432</v>
      </c>
      <c r="P55" s="2">
        <f t="shared" si="25"/>
        <v>0</v>
      </c>
      <c r="Q55" s="2">
        <v>223.15</v>
      </c>
      <c r="R55" s="4">
        <v>0.3</v>
      </c>
      <c r="S55" s="2">
        <f t="shared" si="0"/>
        <v>0.14057881087884</v>
      </c>
      <c r="T55" s="2">
        <f t="shared" si="1"/>
        <v>0.137999600615666</v>
      </c>
      <c r="U55" s="2">
        <f t="shared" si="2"/>
        <v>0.137996504870267</v>
      </c>
      <c r="V55" s="2">
        <f t="shared" si="3"/>
        <v>0.137996504865647</v>
      </c>
      <c r="W55" s="2">
        <f t="shared" si="4"/>
        <v>0.137996504865646</v>
      </c>
      <c r="X55" s="2">
        <f t="shared" si="5"/>
        <v>0.137996504865646</v>
      </c>
      <c r="Y55" s="2">
        <f t="shared" si="6"/>
        <v>0.137996504865646</v>
      </c>
      <c r="Z55" s="2">
        <f t="shared" si="7"/>
        <v>0.385285366900926</v>
      </c>
      <c r="AA55" s="2">
        <f t="shared" si="8"/>
        <v>0.345449207285222</v>
      </c>
      <c r="AB55" s="2">
        <f t="shared" si="9"/>
        <v>0.350013000910228</v>
      </c>
      <c r="AC55" s="2">
        <f t="shared" si="10"/>
        <v>0.364878344628654</v>
      </c>
      <c r="AD55" s="2">
        <f t="shared" si="11"/>
        <v>223.150000000001</v>
      </c>
      <c r="AE55" s="2">
        <f t="shared" si="12"/>
        <v>5.40012479177676e-13</v>
      </c>
    </row>
    <row r="56" spans="1:31">
      <c r="A56" s="2">
        <v>23100</v>
      </c>
      <c r="B56" s="2">
        <v>402.15</v>
      </c>
      <c r="C56" s="4">
        <v>0.3</v>
      </c>
      <c r="D56" s="2">
        <f t="shared" si="13"/>
        <v>0.0919818504752312</v>
      </c>
      <c r="E56" s="2">
        <f t="shared" si="14"/>
        <v>0.0869111410272606</v>
      </c>
      <c r="F56" s="2">
        <f t="shared" si="15"/>
        <v>0.0868786851118275</v>
      </c>
      <c r="G56" s="2">
        <f t="shared" si="16"/>
        <v>0.0868786836346867</v>
      </c>
      <c r="H56" s="2">
        <f t="shared" si="17"/>
        <v>0.0868786836346868</v>
      </c>
      <c r="I56" s="2">
        <f t="shared" si="18"/>
        <v>0.0868786836346869</v>
      </c>
      <c r="J56" s="2">
        <f t="shared" si="19"/>
        <v>0.0868786836346863</v>
      </c>
      <c r="K56" s="2">
        <f t="shared" si="20"/>
        <v>0.506484112804988</v>
      </c>
      <c r="L56" s="2">
        <f t="shared" si="21"/>
        <v>0.481404397113325</v>
      </c>
      <c r="M56" s="2">
        <f t="shared" si="22"/>
        <v>0.69374158007194</v>
      </c>
      <c r="N56" s="2">
        <f t="shared" si="23"/>
        <v>0.684885443919564</v>
      </c>
      <c r="O56" s="2">
        <f t="shared" si="24"/>
        <v>402.15</v>
      </c>
      <c r="P56" s="2">
        <f t="shared" si="25"/>
        <v>0</v>
      </c>
      <c r="Q56" s="2">
        <v>239.5</v>
      </c>
      <c r="R56" s="4">
        <v>0.3</v>
      </c>
      <c r="S56" s="2">
        <f t="shared" si="0"/>
        <v>0.138979913671375</v>
      </c>
      <c r="T56" s="2">
        <f t="shared" si="1"/>
        <v>0.137087851193985</v>
      </c>
      <c r="U56" s="2">
        <f t="shared" si="2"/>
        <v>0.137086610400919</v>
      </c>
      <c r="V56" s="2">
        <f t="shared" si="3"/>
        <v>0.137086610400372</v>
      </c>
      <c r="W56" s="2">
        <f t="shared" si="4"/>
        <v>0.137086610400372</v>
      </c>
      <c r="X56" s="2">
        <f t="shared" si="5"/>
        <v>0.137086610400372</v>
      </c>
      <c r="Y56" s="2">
        <f t="shared" si="6"/>
        <v>0.137086610400372</v>
      </c>
      <c r="Z56" s="2">
        <f t="shared" si="7"/>
        <v>0.332824079030754</v>
      </c>
      <c r="AA56" s="2">
        <f t="shared" si="8"/>
        <v>0.29325058332228</v>
      </c>
      <c r="AB56" s="2">
        <f t="shared" si="9"/>
        <v>0.36963354051856</v>
      </c>
      <c r="AC56" s="2">
        <f t="shared" si="10"/>
        <v>0.384665311376507</v>
      </c>
      <c r="AD56" s="2">
        <f t="shared" si="11"/>
        <v>239.5</v>
      </c>
      <c r="AE56" s="2">
        <f t="shared" si="12"/>
        <v>0</v>
      </c>
    </row>
    <row r="57" spans="1:31">
      <c r="A57" s="2">
        <v>23150</v>
      </c>
      <c r="B57" s="2">
        <v>370.45</v>
      </c>
      <c r="C57" s="4">
        <v>0.3</v>
      </c>
      <c r="D57" s="2">
        <f t="shared" si="13"/>
        <v>0.0909517901951882</v>
      </c>
      <c r="E57" s="2">
        <f t="shared" si="14"/>
        <v>0.0875356187392202</v>
      </c>
      <c r="F57" s="2">
        <f t="shared" si="15"/>
        <v>0.0875254771829749</v>
      </c>
      <c r="G57" s="2">
        <f t="shared" si="16"/>
        <v>0.0875254770868505</v>
      </c>
      <c r="H57" s="2">
        <f t="shared" si="17"/>
        <v>0.087525477086851</v>
      </c>
      <c r="I57" s="2">
        <f t="shared" si="18"/>
        <v>0.0875254770868522</v>
      </c>
      <c r="J57" s="2">
        <f t="shared" si="19"/>
        <v>0.0875254770868504</v>
      </c>
      <c r="K57" s="2">
        <f t="shared" si="20"/>
        <v>0.417352794185794</v>
      </c>
      <c r="L57" s="2">
        <f t="shared" si="21"/>
        <v>0.392086365307272</v>
      </c>
      <c r="M57" s="2">
        <f t="shared" si="22"/>
        <v>0.661789811085414</v>
      </c>
      <c r="N57" s="2">
        <f t="shared" si="23"/>
        <v>0.652502799243019</v>
      </c>
      <c r="O57" s="2">
        <f t="shared" si="24"/>
        <v>370.449999999997</v>
      </c>
      <c r="P57" s="2">
        <f t="shared" si="25"/>
        <v>-2.89901436190121e-12</v>
      </c>
      <c r="Q57" s="2">
        <v>258.35</v>
      </c>
      <c r="R57" s="4">
        <v>0.3</v>
      </c>
      <c r="S57" s="2">
        <f t="shared" si="0"/>
        <v>0.138056433780251</v>
      </c>
      <c r="T57" s="2">
        <f t="shared" si="1"/>
        <v>0.136776035074054</v>
      </c>
      <c r="U57" s="2">
        <f t="shared" si="2"/>
        <v>0.136775642701867</v>
      </c>
      <c r="V57" s="2">
        <f t="shared" si="3"/>
        <v>0.136775642701829</v>
      </c>
      <c r="W57" s="2">
        <f t="shared" si="4"/>
        <v>0.136775642701829</v>
      </c>
      <c r="X57" s="2">
        <f t="shared" si="5"/>
        <v>0.136775642701829</v>
      </c>
      <c r="Y57" s="2">
        <f t="shared" si="6"/>
        <v>0.136775642701829</v>
      </c>
      <c r="Z57" s="2">
        <f t="shared" si="7"/>
        <v>0.278730040111663</v>
      </c>
      <c r="AA57" s="2">
        <f t="shared" si="8"/>
        <v>0.23924631304542</v>
      </c>
      <c r="AB57" s="2">
        <f t="shared" si="9"/>
        <v>0.390226003542565</v>
      </c>
      <c r="AC57" s="2">
        <f t="shared" si="10"/>
        <v>0.40545729628433</v>
      </c>
      <c r="AD57" s="2">
        <f t="shared" si="11"/>
        <v>258.35</v>
      </c>
      <c r="AE57" s="2">
        <f t="shared" si="12"/>
        <v>0</v>
      </c>
    </row>
    <row r="58" spans="1:31">
      <c r="A58" s="2">
        <v>23200</v>
      </c>
      <c r="B58" s="2">
        <v>341.55</v>
      </c>
      <c r="C58" s="4">
        <v>0.3</v>
      </c>
      <c r="D58" s="2">
        <f t="shared" si="13"/>
        <v>0.0906711138234752</v>
      </c>
      <c r="E58" s="2">
        <f t="shared" si="14"/>
        <v>0.0886140773381418</v>
      </c>
      <c r="F58" s="2">
        <f t="shared" si="15"/>
        <v>0.0886118093135407</v>
      </c>
      <c r="G58" s="2">
        <f t="shared" si="16"/>
        <v>0.0886118093106582</v>
      </c>
      <c r="H58" s="2">
        <f t="shared" si="17"/>
        <v>0.088611809310657</v>
      </c>
      <c r="I58" s="2">
        <f t="shared" si="18"/>
        <v>0.088611809310658</v>
      </c>
      <c r="J58" s="2">
        <f t="shared" si="19"/>
        <v>0.0886118093106583</v>
      </c>
      <c r="K58" s="2">
        <f t="shared" si="20"/>
        <v>0.328204873939174</v>
      </c>
      <c r="L58" s="2">
        <f t="shared" si="21"/>
        <v>0.30262484795973</v>
      </c>
      <c r="M58" s="2">
        <f t="shared" si="22"/>
        <v>0.628621618545207</v>
      </c>
      <c r="N58" s="2">
        <f t="shared" si="23"/>
        <v>0.618912112018399</v>
      </c>
      <c r="O58" s="2">
        <f t="shared" si="24"/>
        <v>341.550000000003</v>
      </c>
      <c r="P58" s="2">
        <f t="shared" si="25"/>
        <v>2.89901436190121e-12</v>
      </c>
      <c r="Q58" s="2">
        <v>278.4</v>
      </c>
      <c r="R58" s="4">
        <v>0.3</v>
      </c>
      <c r="S58" s="2">
        <f t="shared" si="0"/>
        <v>0.137307472126409</v>
      </c>
      <c r="T58" s="2">
        <f t="shared" si="1"/>
        <v>0.13652980710828</v>
      </c>
      <c r="U58" s="2">
        <f t="shared" si="2"/>
        <v>0.136529716190349</v>
      </c>
      <c r="V58" s="2">
        <f t="shared" si="3"/>
        <v>0.136529716190349</v>
      </c>
      <c r="W58" s="2">
        <f t="shared" si="4"/>
        <v>0.136529716190349</v>
      </c>
      <c r="X58" s="2">
        <f t="shared" si="5"/>
        <v>0.136529716190348</v>
      </c>
      <c r="Y58" s="2">
        <f t="shared" si="6"/>
        <v>0.136529716190348</v>
      </c>
      <c r="Z58" s="2">
        <f t="shared" si="7"/>
        <v>0.224419907067072</v>
      </c>
      <c r="AA58" s="2">
        <f t="shared" si="8"/>
        <v>0.185007172869632</v>
      </c>
      <c r="AB58" s="2">
        <f t="shared" si="9"/>
        <v>0.411215291049828</v>
      </c>
      <c r="AC58" s="2">
        <f t="shared" si="10"/>
        <v>0.42661170477938</v>
      </c>
      <c r="AD58" s="2">
        <f t="shared" si="11"/>
        <v>278.4</v>
      </c>
      <c r="AE58" s="2">
        <f t="shared" si="12"/>
        <v>0</v>
      </c>
    </row>
    <row r="59" spans="1:31">
      <c r="A59" s="2">
        <v>23250</v>
      </c>
      <c r="B59" s="2">
        <v>312.25</v>
      </c>
      <c r="C59" s="4">
        <v>0.3</v>
      </c>
      <c r="D59" s="2">
        <f t="shared" si="13"/>
        <v>0.0899285423384875</v>
      </c>
      <c r="E59" s="2">
        <f t="shared" si="14"/>
        <v>0.0888714378783413</v>
      </c>
      <c r="F59" s="2">
        <f t="shared" si="15"/>
        <v>0.088871112343113</v>
      </c>
      <c r="G59" s="2">
        <f t="shared" si="16"/>
        <v>0.0888711123430808</v>
      </c>
      <c r="H59" s="2">
        <f t="shared" si="17"/>
        <v>0.0888711123430801</v>
      </c>
      <c r="I59" s="2">
        <f t="shared" si="18"/>
        <v>0.0888711123430808</v>
      </c>
      <c r="J59" s="2">
        <f t="shared" si="19"/>
        <v>0.0888711123430801</v>
      </c>
      <c r="K59" s="2">
        <f t="shared" si="20"/>
        <v>0.243406063139592</v>
      </c>
      <c r="L59" s="2">
        <f t="shared" si="21"/>
        <v>0.217751182822363</v>
      </c>
      <c r="M59" s="2">
        <f t="shared" si="22"/>
        <v>0.596154576337469</v>
      </c>
      <c r="N59" s="2">
        <f t="shared" si="23"/>
        <v>0.586188508867668</v>
      </c>
      <c r="O59" s="2">
        <f t="shared" si="24"/>
        <v>312.249999999998</v>
      </c>
      <c r="P59" s="2">
        <f t="shared" si="25"/>
        <v>-1.81898940354586e-12</v>
      </c>
      <c r="Q59" s="2">
        <v>300.65</v>
      </c>
      <c r="R59" s="4">
        <v>0.3</v>
      </c>
      <c r="S59" s="2">
        <f t="shared" si="0"/>
        <v>0.137104983994454</v>
      </c>
      <c r="T59" s="2">
        <f t="shared" si="1"/>
        <v>0.13671912870918</v>
      </c>
      <c r="U59" s="2">
        <f t="shared" si="2"/>
        <v>0.13671911675807</v>
      </c>
      <c r="V59" s="2">
        <f t="shared" si="3"/>
        <v>0.13671911675807</v>
      </c>
      <c r="W59" s="2">
        <f t="shared" si="4"/>
        <v>0.13671911675807</v>
      </c>
      <c r="X59" s="2">
        <f t="shared" si="5"/>
        <v>0.136719116758071</v>
      </c>
      <c r="Y59" s="2">
        <f t="shared" si="6"/>
        <v>0.13671911675807</v>
      </c>
      <c r="Z59" s="2">
        <f t="shared" si="7"/>
        <v>0.169616026901448</v>
      </c>
      <c r="AA59" s="2">
        <f t="shared" si="8"/>
        <v>0.130148617469628</v>
      </c>
      <c r="AB59" s="2">
        <f t="shared" si="9"/>
        <v>0.432656058772638</v>
      </c>
      <c r="AC59" s="2">
        <f t="shared" si="10"/>
        <v>0.448224423009313</v>
      </c>
      <c r="AD59" s="2">
        <f t="shared" si="11"/>
        <v>300.649999999998</v>
      </c>
      <c r="AE59" s="2">
        <f t="shared" si="12"/>
        <v>-2.1600499167107e-12</v>
      </c>
    </row>
    <row r="60" spans="1:31">
      <c r="A60" s="2">
        <v>23300</v>
      </c>
      <c r="B60" s="2">
        <v>287</v>
      </c>
      <c r="C60" s="4">
        <v>0.3</v>
      </c>
      <c r="D60" s="2">
        <f t="shared" si="13"/>
        <v>0.0903942201442386</v>
      </c>
      <c r="E60" s="2">
        <f t="shared" si="14"/>
        <v>0.090037384202611</v>
      </c>
      <c r="F60" s="2">
        <f t="shared" si="15"/>
        <v>0.0900373695838239</v>
      </c>
      <c r="G60" s="2">
        <f t="shared" si="16"/>
        <v>0.0900373695838246</v>
      </c>
      <c r="H60" s="2">
        <f t="shared" si="17"/>
        <v>0.0900373695838239</v>
      </c>
      <c r="I60" s="2">
        <f t="shared" si="18"/>
        <v>0.0900373695838246</v>
      </c>
      <c r="J60" s="2">
        <f t="shared" si="19"/>
        <v>0.0900373695838239</v>
      </c>
      <c r="K60" s="2">
        <f t="shared" si="20"/>
        <v>0.157936667967458</v>
      </c>
      <c r="L60" s="2">
        <f t="shared" si="21"/>
        <v>0.131945118184285</v>
      </c>
      <c r="M60" s="2">
        <f t="shared" si="22"/>
        <v>0.562746648099933</v>
      </c>
      <c r="N60" s="2">
        <f t="shared" si="23"/>
        <v>0.552486149288214</v>
      </c>
      <c r="O60" s="2">
        <f t="shared" si="24"/>
        <v>286.999999999998</v>
      </c>
      <c r="P60" s="2">
        <f t="shared" si="25"/>
        <v>-1.81898940354586e-12</v>
      </c>
      <c r="Q60" s="2">
        <v>322.5</v>
      </c>
      <c r="R60" s="4">
        <v>0.3</v>
      </c>
      <c r="S60" s="2">
        <f t="shared" si="0"/>
        <v>0.136469303469499</v>
      </c>
      <c r="T60" s="2">
        <f t="shared" si="1"/>
        <v>0.136352038185395</v>
      </c>
      <c r="U60" s="2">
        <f t="shared" si="2"/>
        <v>0.136352037743825</v>
      </c>
      <c r="V60" s="2">
        <f t="shared" si="3"/>
        <v>0.136352037743825</v>
      </c>
      <c r="W60" s="2">
        <f t="shared" si="4"/>
        <v>0.136352037743825</v>
      </c>
      <c r="X60" s="2">
        <f t="shared" si="5"/>
        <v>0.136352037743825</v>
      </c>
      <c r="Y60" s="2">
        <f t="shared" si="6"/>
        <v>0.136352037743825</v>
      </c>
      <c r="Z60" s="2">
        <f t="shared" si="7"/>
        <v>0.115389571644473</v>
      </c>
      <c r="AA60" s="2">
        <f t="shared" si="8"/>
        <v>0.0760281287964975</v>
      </c>
      <c r="AB60" s="2">
        <f t="shared" si="9"/>
        <v>0.4540681721862</v>
      </c>
      <c r="AC60" s="2">
        <f t="shared" si="10"/>
        <v>0.469698359707194</v>
      </c>
      <c r="AD60" s="2">
        <f t="shared" si="11"/>
        <v>322.5</v>
      </c>
      <c r="AE60" s="2">
        <f t="shared" si="12"/>
        <v>0</v>
      </c>
    </row>
    <row r="61" spans="1:31">
      <c r="A61" s="2">
        <v>23350</v>
      </c>
      <c r="B61" s="2">
        <v>258.95</v>
      </c>
      <c r="C61" s="4">
        <v>0.3</v>
      </c>
      <c r="D61" s="2">
        <f t="shared" si="13"/>
        <v>0.0894983956352273</v>
      </c>
      <c r="E61" s="2">
        <f t="shared" si="14"/>
        <v>0.0895174962502499</v>
      </c>
      <c r="F61" s="2">
        <f t="shared" si="15"/>
        <v>0.0895174962425412</v>
      </c>
      <c r="G61" s="2">
        <f t="shared" si="16"/>
        <v>0.0895174962425416</v>
      </c>
      <c r="H61" s="2">
        <f t="shared" si="17"/>
        <v>0.0895174962425407</v>
      </c>
      <c r="I61" s="2">
        <f t="shared" si="18"/>
        <v>0.0895174962425411</v>
      </c>
      <c r="J61" s="2">
        <f t="shared" si="19"/>
        <v>0.0895174962425415</v>
      </c>
      <c r="K61" s="2">
        <f t="shared" si="20"/>
        <v>0.0757505442719592</v>
      </c>
      <c r="L61" s="2">
        <f t="shared" si="21"/>
        <v>0.0499090689955529</v>
      </c>
      <c r="M61" s="2">
        <f t="shared" si="22"/>
        <v>0.530191218518256</v>
      </c>
      <c r="N61" s="2">
        <f t="shared" si="23"/>
        <v>0.519902574850735</v>
      </c>
      <c r="O61" s="2">
        <f t="shared" si="24"/>
        <v>258.949999999999</v>
      </c>
      <c r="P61" s="2">
        <f t="shared" si="25"/>
        <v>-1.08002495835535e-12</v>
      </c>
      <c r="Q61" s="2">
        <v>351.9</v>
      </c>
      <c r="R61" s="4">
        <v>0.3</v>
      </c>
      <c r="S61" s="2">
        <f t="shared" si="0"/>
        <v>0.138376030953108</v>
      </c>
      <c r="T61" s="2">
        <f t="shared" si="1"/>
        <v>0.138409828507345</v>
      </c>
      <c r="U61" s="2">
        <f t="shared" si="2"/>
        <v>0.138409828502174</v>
      </c>
      <c r="V61" s="2">
        <f t="shared" si="3"/>
        <v>0.138409828502174</v>
      </c>
      <c r="W61" s="2">
        <f t="shared" si="4"/>
        <v>0.138409828502174</v>
      </c>
      <c r="X61" s="2">
        <f t="shared" si="5"/>
        <v>0.138409828502174</v>
      </c>
      <c r="Y61" s="2">
        <f t="shared" si="6"/>
        <v>0.138409828502174</v>
      </c>
      <c r="Z61" s="2">
        <f t="shared" si="7"/>
        <v>0.0606133419254677</v>
      </c>
      <c r="AA61" s="2">
        <f t="shared" si="8"/>
        <v>0.0206578660533576</v>
      </c>
      <c r="AB61" s="2">
        <f t="shared" si="9"/>
        <v>0.475833573871256</v>
      </c>
      <c r="AC61" s="2">
        <f t="shared" si="10"/>
        <v>0.491759289929588</v>
      </c>
      <c r="AD61" s="2">
        <f t="shared" si="11"/>
        <v>351.900000000001</v>
      </c>
      <c r="AE61" s="2">
        <f t="shared" si="12"/>
        <v>1.47792889038101e-12</v>
      </c>
    </row>
    <row r="62" spans="1:31">
      <c r="A62" s="2">
        <v>23400</v>
      </c>
      <c r="B62" s="2">
        <v>234.65</v>
      </c>
      <c r="C62" s="4">
        <v>0.3</v>
      </c>
      <c r="D62" s="2">
        <f t="shared" si="13"/>
        <v>0.0896942235393127</v>
      </c>
      <c r="E62" s="2">
        <f t="shared" si="14"/>
        <v>0.0897913693446084</v>
      </c>
      <c r="F62" s="2">
        <f t="shared" si="15"/>
        <v>0.0897913693326049</v>
      </c>
      <c r="G62" s="2">
        <f t="shared" si="16"/>
        <v>0.089791369332605</v>
      </c>
      <c r="H62" s="2">
        <f t="shared" si="17"/>
        <v>0.0897913693326052</v>
      </c>
      <c r="I62" s="2">
        <f t="shared" si="18"/>
        <v>0.0897913693326046</v>
      </c>
      <c r="J62" s="2">
        <f t="shared" si="19"/>
        <v>0.0897913693326054</v>
      </c>
      <c r="K62" s="2">
        <f t="shared" si="20"/>
        <v>-0.00692448153740103</v>
      </c>
      <c r="L62" s="2">
        <f t="shared" si="21"/>
        <v>-0.0328450171649435</v>
      </c>
      <c r="M62" s="2">
        <f t="shared" si="22"/>
        <v>0.497237553620724</v>
      </c>
      <c r="N62" s="2">
        <f t="shared" si="23"/>
        <v>0.486899089527852</v>
      </c>
      <c r="O62" s="2">
        <f t="shared" si="24"/>
        <v>234.650000000001</v>
      </c>
      <c r="P62" s="2">
        <f t="shared" si="25"/>
        <v>1.4495071809506e-12</v>
      </c>
      <c r="Q62" s="2">
        <v>375.6</v>
      </c>
      <c r="R62" s="4">
        <v>0.3</v>
      </c>
      <c r="S62" s="2">
        <f t="shared" si="0"/>
        <v>0.13786569942031</v>
      </c>
      <c r="T62" s="2">
        <f t="shared" si="1"/>
        <v>0.137929644699761</v>
      </c>
      <c r="U62" s="2">
        <f t="shared" si="2"/>
        <v>0.137929644703149</v>
      </c>
      <c r="V62" s="2">
        <f t="shared" si="3"/>
        <v>0.137929644703148</v>
      </c>
      <c r="W62" s="2">
        <f t="shared" si="4"/>
        <v>0.137929644703148</v>
      </c>
      <c r="X62" s="2">
        <f t="shared" si="5"/>
        <v>0.137929644703148</v>
      </c>
      <c r="Y62" s="2">
        <f t="shared" si="6"/>
        <v>0.137929644703148</v>
      </c>
      <c r="Z62" s="2">
        <f t="shared" si="7"/>
        <v>0.00696357711377184</v>
      </c>
      <c r="AA62" s="2">
        <f t="shared" si="8"/>
        <v>-0.0328532816355241</v>
      </c>
      <c r="AB62" s="2">
        <f t="shared" si="9"/>
        <v>0.497221957118366</v>
      </c>
      <c r="AC62" s="2">
        <f t="shared" si="10"/>
        <v>0.513104205740501</v>
      </c>
      <c r="AD62" s="2">
        <f t="shared" si="11"/>
        <v>375.6</v>
      </c>
      <c r="AE62" s="2">
        <f t="shared" si="12"/>
        <v>0</v>
      </c>
    </row>
    <row r="63" spans="1:31">
      <c r="A63" s="2">
        <v>23450</v>
      </c>
      <c r="B63" s="2">
        <v>212.1</v>
      </c>
      <c r="C63" s="4">
        <v>0.3</v>
      </c>
      <c r="D63" s="2">
        <f t="shared" si="13"/>
        <v>0.0902323227317585</v>
      </c>
      <c r="E63" s="2">
        <f t="shared" si="14"/>
        <v>0.0901091500695888</v>
      </c>
      <c r="F63" s="2">
        <f t="shared" si="15"/>
        <v>0.0901091492125802</v>
      </c>
      <c r="G63" s="2">
        <f t="shared" si="16"/>
        <v>0.0901091492125807</v>
      </c>
      <c r="H63" s="2">
        <f t="shared" si="17"/>
        <v>0.0901091492125806</v>
      </c>
      <c r="I63" s="2">
        <f t="shared" si="18"/>
        <v>0.0901091492125805</v>
      </c>
      <c r="J63" s="2">
        <f t="shared" si="19"/>
        <v>0.0901091492125803</v>
      </c>
      <c r="K63" s="2">
        <f t="shared" si="20"/>
        <v>-0.0888648587024296</v>
      </c>
      <c r="L63" s="2">
        <f t="shared" si="21"/>
        <v>-0.114877129479595</v>
      </c>
      <c r="M63" s="2">
        <f t="shared" si="22"/>
        <v>0.464594655858321</v>
      </c>
      <c r="N63" s="2">
        <f t="shared" si="23"/>
        <v>0.454271256547865</v>
      </c>
      <c r="O63" s="2">
        <f t="shared" si="24"/>
        <v>212.099999999999</v>
      </c>
      <c r="P63" s="2">
        <f t="shared" si="25"/>
        <v>-1.4495071809506e-12</v>
      </c>
      <c r="Q63" s="2">
        <v>401.8</v>
      </c>
      <c r="R63" s="4">
        <v>0.3</v>
      </c>
      <c r="S63" s="2">
        <f t="shared" si="0"/>
        <v>0.138008283360702</v>
      </c>
      <c r="T63" s="2">
        <f t="shared" si="1"/>
        <v>0.137986501849885</v>
      </c>
      <c r="U63" s="2">
        <f t="shared" si="2"/>
        <v>0.137986501842962</v>
      </c>
      <c r="V63" s="2">
        <f t="shared" si="3"/>
        <v>0.137986501842962</v>
      </c>
      <c r="W63" s="2">
        <f t="shared" si="4"/>
        <v>0.137986501842962</v>
      </c>
      <c r="X63" s="2">
        <f t="shared" si="5"/>
        <v>0.137986501842962</v>
      </c>
      <c r="Y63" s="2">
        <f t="shared" si="6"/>
        <v>0.137986501842962</v>
      </c>
      <c r="Z63" s="2">
        <f t="shared" si="7"/>
        <v>-0.046608049276786</v>
      </c>
      <c r="AA63" s="2">
        <f t="shared" si="8"/>
        <v>-0.0864413212685706</v>
      </c>
      <c r="AB63" s="2">
        <f t="shared" si="9"/>
        <v>0.518587191695509</v>
      </c>
      <c r="AC63" s="2">
        <f t="shared" si="10"/>
        <v>0.534442199891371</v>
      </c>
      <c r="AD63" s="2">
        <f t="shared" si="11"/>
        <v>401.800000000001</v>
      </c>
      <c r="AE63" s="2">
        <f t="shared" si="12"/>
        <v>1.08002495835535e-12</v>
      </c>
    </row>
    <row r="64" spans="1:31">
      <c r="A64" s="2">
        <v>23500</v>
      </c>
      <c r="B64" s="2">
        <v>193</v>
      </c>
      <c r="C64" s="4">
        <v>0.3</v>
      </c>
      <c r="D64" s="2">
        <f t="shared" si="13"/>
        <v>0.0917489168607857</v>
      </c>
      <c r="E64" s="2">
        <f t="shared" si="14"/>
        <v>0.0911266420281203</v>
      </c>
      <c r="F64" s="2">
        <f t="shared" si="15"/>
        <v>0.091126573189424</v>
      </c>
      <c r="G64" s="2">
        <f t="shared" si="16"/>
        <v>0.0911265731894226</v>
      </c>
      <c r="H64" s="2">
        <f t="shared" si="17"/>
        <v>0.0911265731894226</v>
      </c>
      <c r="I64" s="2">
        <f t="shared" si="18"/>
        <v>0.0911265731894226</v>
      </c>
      <c r="J64" s="2">
        <f t="shared" si="19"/>
        <v>0.0911265731894226</v>
      </c>
      <c r="K64" s="2">
        <f t="shared" si="20"/>
        <v>-0.168548013445689</v>
      </c>
      <c r="L64" s="2">
        <f t="shared" si="21"/>
        <v>-0.19485398922631</v>
      </c>
      <c r="M64" s="2">
        <f t="shared" si="22"/>
        <v>0.433076087318086</v>
      </c>
      <c r="N64" s="2">
        <f t="shared" si="23"/>
        <v>0.422753627480973</v>
      </c>
      <c r="O64" s="2">
        <f t="shared" si="24"/>
        <v>193</v>
      </c>
      <c r="P64" s="2">
        <f t="shared" si="25"/>
        <v>0</v>
      </c>
      <c r="Q64" s="2">
        <v>430</v>
      </c>
      <c r="R64" s="4">
        <v>0.3</v>
      </c>
      <c r="S64" s="2">
        <f t="shared" si="0"/>
        <v>0.138617290868885</v>
      </c>
      <c r="T64" s="2">
        <f t="shared" si="1"/>
        <v>0.138397129347429</v>
      </c>
      <c r="U64" s="2">
        <f t="shared" si="2"/>
        <v>0.138397126918753</v>
      </c>
      <c r="V64" s="2">
        <f t="shared" si="3"/>
        <v>0.138397126918752</v>
      </c>
      <c r="W64" s="2">
        <f t="shared" si="4"/>
        <v>0.138397126918751</v>
      </c>
      <c r="X64" s="2">
        <f t="shared" si="5"/>
        <v>0.138397126918753</v>
      </c>
      <c r="Y64" s="2">
        <f t="shared" si="6"/>
        <v>0.138397126918753</v>
      </c>
      <c r="Z64" s="2">
        <f t="shared" si="7"/>
        <v>-0.0996637870803981</v>
      </c>
      <c r="AA64" s="2">
        <f t="shared" si="8"/>
        <v>-0.139615596321205</v>
      </c>
      <c r="AB64" s="2">
        <f t="shared" si="9"/>
        <v>0.539694374461029</v>
      </c>
      <c r="AC64" s="2">
        <f t="shared" si="10"/>
        <v>0.555518141380812</v>
      </c>
      <c r="AD64" s="2">
        <f t="shared" si="11"/>
        <v>430</v>
      </c>
      <c r="AE64" s="2">
        <f t="shared" si="12"/>
        <v>0</v>
      </c>
    </row>
    <row r="65" spans="1:31">
      <c r="A65" s="2">
        <v>23550</v>
      </c>
      <c r="B65" s="2">
        <v>171</v>
      </c>
      <c r="C65" s="4">
        <v>0.3</v>
      </c>
      <c r="D65" s="2">
        <f t="shared" si="13"/>
        <v>0.0918763655105281</v>
      </c>
      <c r="E65" s="2">
        <f t="shared" si="14"/>
        <v>0.0904499580118812</v>
      </c>
      <c r="F65" s="2">
        <f t="shared" si="15"/>
        <v>0.0904491970120034</v>
      </c>
      <c r="G65" s="2">
        <f t="shared" si="16"/>
        <v>0.0904491970117798</v>
      </c>
      <c r="H65" s="2">
        <f t="shared" si="17"/>
        <v>0.0904491970117791</v>
      </c>
      <c r="I65" s="2">
        <f t="shared" si="18"/>
        <v>0.0904491970117798</v>
      </c>
      <c r="J65" s="2">
        <f t="shared" si="19"/>
        <v>0.0904491970117791</v>
      </c>
      <c r="K65" s="2">
        <f t="shared" si="20"/>
        <v>-0.251406929400596</v>
      </c>
      <c r="L65" s="2">
        <f t="shared" si="21"/>
        <v>-0.277517363521964</v>
      </c>
      <c r="M65" s="2">
        <f t="shared" si="22"/>
        <v>0.400749755417277</v>
      </c>
      <c r="N65" s="2">
        <f t="shared" si="23"/>
        <v>0.390691437525374</v>
      </c>
      <c r="O65" s="2">
        <f t="shared" si="24"/>
        <v>170.999999999998</v>
      </c>
      <c r="P65" s="2">
        <f t="shared" si="25"/>
        <v>-1.81898940354586e-12</v>
      </c>
      <c r="Q65" s="2">
        <v>464.75</v>
      </c>
      <c r="R65" s="4">
        <v>0.3</v>
      </c>
      <c r="S65" s="2">
        <f t="shared" si="0"/>
        <v>0.141394781231787</v>
      </c>
      <c r="T65" s="2">
        <f t="shared" si="1"/>
        <v>0.140890185072059</v>
      </c>
      <c r="U65" s="2">
        <f t="shared" si="2"/>
        <v>0.140890159583815</v>
      </c>
      <c r="V65" s="2">
        <f t="shared" si="3"/>
        <v>0.140890159583816</v>
      </c>
      <c r="W65" s="2">
        <f t="shared" si="4"/>
        <v>0.140890159583816</v>
      </c>
      <c r="X65" s="2">
        <f t="shared" si="5"/>
        <v>0.140890159583816</v>
      </c>
      <c r="Y65" s="2">
        <f t="shared" si="6"/>
        <v>0.140890159583816</v>
      </c>
      <c r="Z65" s="2">
        <f t="shared" si="7"/>
        <v>-0.149444665181279</v>
      </c>
      <c r="AA65" s="2">
        <f t="shared" si="8"/>
        <v>-0.190116150962221</v>
      </c>
      <c r="AB65" s="2">
        <f t="shared" si="9"/>
        <v>0.55939861514932</v>
      </c>
      <c r="AC65" s="2">
        <f t="shared" si="10"/>
        <v>0.575390942873096</v>
      </c>
      <c r="AD65" s="2">
        <f t="shared" si="11"/>
        <v>464.75</v>
      </c>
      <c r="AE65" s="2">
        <f t="shared" si="12"/>
        <v>0</v>
      </c>
    </row>
    <row r="66" spans="1:31">
      <c r="A66" s="2">
        <v>23600</v>
      </c>
      <c r="B66" s="2">
        <v>153.85</v>
      </c>
      <c r="C66" s="4">
        <v>0.3</v>
      </c>
      <c r="D66" s="2">
        <f t="shared" si="13"/>
        <v>0.0935126642912104</v>
      </c>
      <c r="E66" s="2">
        <f t="shared" si="14"/>
        <v>0.0910482891744258</v>
      </c>
      <c r="F66" s="2">
        <f t="shared" si="15"/>
        <v>0.0910445587354749</v>
      </c>
      <c r="G66" s="2">
        <f t="shared" si="16"/>
        <v>0.0910445587264748</v>
      </c>
      <c r="H66" s="2">
        <f t="shared" si="17"/>
        <v>0.0910445587264747</v>
      </c>
      <c r="I66" s="2">
        <f t="shared" si="18"/>
        <v>0.0910445587264753</v>
      </c>
      <c r="J66" s="2">
        <f t="shared" si="19"/>
        <v>0.0910445587264751</v>
      </c>
      <c r="K66" s="2">
        <f t="shared" si="20"/>
        <v>-0.330288189697525</v>
      </c>
      <c r="L66" s="2">
        <f t="shared" si="21"/>
        <v>-0.356570489942015</v>
      </c>
      <c r="M66" s="2">
        <f t="shared" si="22"/>
        <v>0.370591107975298</v>
      </c>
      <c r="N66" s="2">
        <f t="shared" si="23"/>
        <v>0.360706686371344</v>
      </c>
      <c r="O66" s="2">
        <f t="shared" si="24"/>
        <v>153.85</v>
      </c>
      <c r="P66" s="2">
        <f t="shared" si="25"/>
        <v>3.69482222595252e-13</v>
      </c>
      <c r="Q66" s="2">
        <v>486.1</v>
      </c>
      <c r="R66" s="4">
        <v>0.3</v>
      </c>
      <c r="S66" s="2">
        <f t="shared" si="0"/>
        <v>0.138890403837954</v>
      </c>
      <c r="T66" s="2">
        <f t="shared" si="1"/>
        <v>0.137928604438147</v>
      </c>
      <c r="U66" s="2">
        <f t="shared" si="2"/>
        <v>0.137928435783113</v>
      </c>
      <c r="V66" s="2">
        <f t="shared" si="3"/>
        <v>0.137928435783108</v>
      </c>
      <c r="W66" s="2">
        <f t="shared" si="4"/>
        <v>0.137928435783107</v>
      </c>
      <c r="X66" s="2">
        <f t="shared" si="5"/>
        <v>0.137928435783107</v>
      </c>
      <c r="Y66" s="2">
        <f t="shared" si="6"/>
        <v>0.137928435783107</v>
      </c>
      <c r="Z66" s="2">
        <f t="shared" si="7"/>
        <v>-0.206784468196321</v>
      </c>
      <c r="AA66" s="2">
        <f t="shared" si="8"/>
        <v>-0.246600977960462</v>
      </c>
      <c r="AB66" s="2">
        <f t="shared" si="9"/>
        <v>0.581910906711075</v>
      </c>
      <c r="AC66" s="2">
        <f t="shared" si="10"/>
        <v>0.597391476192026</v>
      </c>
      <c r="AD66" s="2">
        <f t="shared" si="11"/>
        <v>486.099999999999</v>
      </c>
      <c r="AE66" s="2">
        <f t="shared" si="12"/>
        <v>-1.47792889038101e-12</v>
      </c>
    </row>
    <row r="67" spans="1:31">
      <c r="A67" s="2">
        <v>23650</v>
      </c>
      <c r="B67" s="2">
        <v>134.75</v>
      </c>
      <c r="C67" s="4">
        <v>0.3</v>
      </c>
      <c r="D67" s="2">
        <f t="shared" si="13"/>
        <v>0.0941207524313072</v>
      </c>
      <c r="E67" s="2">
        <f t="shared" si="14"/>
        <v>0.0902842402849682</v>
      </c>
      <c r="F67" s="2">
        <f t="shared" si="15"/>
        <v>0.0902704783453373</v>
      </c>
      <c r="G67" s="2">
        <f t="shared" si="16"/>
        <v>0.0902704781537741</v>
      </c>
      <c r="H67" s="2">
        <f t="shared" si="17"/>
        <v>0.0902704781537744</v>
      </c>
      <c r="I67" s="2">
        <f t="shared" si="18"/>
        <v>0.0902704781537744</v>
      </c>
      <c r="J67" s="2">
        <f t="shared" si="19"/>
        <v>0.0902704781537744</v>
      </c>
      <c r="K67" s="2">
        <f t="shared" si="20"/>
        <v>-0.414561173332245</v>
      </c>
      <c r="L67" s="2">
        <f t="shared" si="21"/>
        <v>-0.440620015763224</v>
      </c>
      <c r="M67" s="2">
        <f t="shared" si="22"/>
        <v>0.33923158813332</v>
      </c>
      <c r="N67" s="2">
        <f t="shared" si="23"/>
        <v>0.329744054963262</v>
      </c>
      <c r="O67" s="2">
        <f t="shared" si="24"/>
        <v>134.75</v>
      </c>
      <c r="P67" s="2">
        <f t="shared" si="25"/>
        <v>0</v>
      </c>
      <c r="Q67" s="2">
        <v>529.7</v>
      </c>
      <c r="R67" s="4">
        <v>0.3</v>
      </c>
      <c r="S67" s="2">
        <f t="shared" si="0"/>
        <v>0.144438895854264</v>
      </c>
      <c r="T67" s="2">
        <f t="shared" si="1"/>
        <v>0.143088765409</v>
      </c>
      <c r="U67" s="2">
        <f t="shared" si="2"/>
        <v>0.143088313061454</v>
      </c>
      <c r="V67" s="2">
        <f t="shared" si="3"/>
        <v>0.143088313061401</v>
      </c>
      <c r="W67" s="2">
        <f t="shared" si="4"/>
        <v>0.143088313061401</v>
      </c>
      <c r="X67" s="2">
        <f t="shared" si="5"/>
        <v>0.143088313061402</v>
      </c>
      <c r="Y67" s="2">
        <f t="shared" si="6"/>
        <v>0.143088313061401</v>
      </c>
      <c r="Z67" s="2">
        <f t="shared" si="7"/>
        <v>-0.249102117501135</v>
      </c>
      <c r="AA67" s="2">
        <f t="shared" si="8"/>
        <v>-0.290408155533079</v>
      </c>
      <c r="AB67" s="2">
        <f t="shared" si="9"/>
        <v>0.598359104225578</v>
      </c>
      <c r="AC67" s="2">
        <f t="shared" si="10"/>
        <v>0.614247997393505</v>
      </c>
      <c r="AD67" s="2">
        <f t="shared" si="11"/>
        <v>529.699999999999</v>
      </c>
      <c r="AE67" s="2">
        <f t="shared" si="12"/>
        <v>-1.13686837721616e-12</v>
      </c>
    </row>
    <row r="68" spans="1:31">
      <c r="A68" s="2">
        <v>23700</v>
      </c>
      <c r="B68" s="2">
        <v>119.9</v>
      </c>
      <c r="C68" s="4">
        <v>0.3</v>
      </c>
      <c r="D68" s="2">
        <f t="shared" si="13"/>
        <v>0.0960270540435274</v>
      </c>
      <c r="E68" s="2">
        <f t="shared" si="14"/>
        <v>0.0906561739698703</v>
      </c>
      <c r="F68" s="2">
        <f t="shared" si="15"/>
        <v>0.0906194872605426</v>
      </c>
      <c r="G68" s="2">
        <f t="shared" si="16"/>
        <v>0.0906194853567667</v>
      </c>
      <c r="H68" s="2">
        <f t="shared" si="17"/>
        <v>0.0906194853567668</v>
      </c>
      <c r="I68" s="2">
        <f t="shared" si="18"/>
        <v>0.090619485356767</v>
      </c>
      <c r="J68" s="2">
        <f t="shared" si="19"/>
        <v>0.090619485356766</v>
      </c>
      <c r="K68" s="2">
        <f t="shared" si="20"/>
        <v>-0.493596648444537</v>
      </c>
      <c r="L68" s="2">
        <f t="shared" si="21"/>
        <v>-0.519756240576814</v>
      </c>
      <c r="M68" s="2">
        <f t="shared" si="22"/>
        <v>0.310795534121103</v>
      </c>
      <c r="N68" s="2">
        <f t="shared" si="23"/>
        <v>0.301616741264056</v>
      </c>
      <c r="O68" s="2">
        <f t="shared" si="24"/>
        <v>119.899999999998</v>
      </c>
      <c r="P68" s="2">
        <f t="shared" si="25"/>
        <v>-2.18847162614111e-12</v>
      </c>
      <c r="Q68" s="2">
        <v>542.7</v>
      </c>
      <c r="R68" s="4">
        <v>0.3</v>
      </c>
      <c r="S68" s="2">
        <f t="shared" si="0"/>
        <v>0.138248266241592</v>
      </c>
      <c r="T68" s="2">
        <f t="shared" si="1"/>
        <v>0.136030785088361</v>
      </c>
      <c r="U68" s="2">
        <f t="shared" si="2"/>
        <v>0.136028796133481</v>
      </c>
      <c r="V68" s="2">
        <f t="shared" si="3"/>
        <v>0.136028796131831</v>
      </c>
      <c r="W68" s="2">
        <f t="shared" si="4"/>
        <v>0.136028796131831</v>
      </c>
      <c r="X68" s="2">
        <f t="shared" si="5"/>
        <v>0.13602879613183</v>
      </c>
      <c r="Y68" s="2">
        <f t="shared" si="6"/>
        <v>0.136028796131831</v>
      </c>
      <c r="Z68" s="2">
        <f t="shared" si="7"/>
        <v>-0.317902985090895</v>
      </c>
      <c r="AA68" s="2">
        <f t="shared" si="8"/>
        <v>-0.357171116123021</v>
      </c>
      <c r="AB68" s="2">
        <f t="shared" si="9"/>
        <v>0.624720735897993</v>
      </c>
      <c r="AC68" s="2">
        <f t="shared" si="10"/>
        <v>0.639518146158816</v>
      </c>
      <c r="AD68" s="2">
        <f t="shared" si="11"/>
        <v>542.699999999997</v>
      </c>
      <c r="AE68" s="2">
        <f t="shared" si="12"/>
        <v>-2.95585778076202e-12</v>
      </c>
    </row>
    <row r="69" spans="1:31">
      <c r="A69" s="2">
        <v>23750</v>
      </c>
      <c r="B69" s="2">
        <v>106.55</v>
      </c>
      <c r="C69" s="4">
        <v>0.3</v>
      </c>
      <c r="D69" s="2">
        <f t="shared" si="13"/>
        <v>0.0982112279777954</v>
      </c>
      <c r="E69" s="2">
        <f t="shared" si="14"/>
        <v>0.091124311206255</v>
      </c>
      <c r="F69" s="2">
        <f t="shared" si="15"/>
        <v>0.0910421500109246</v>
      </c>
      <c r="G69" s="2">
        <f t="shared" si="16"/>
        <v>0.091042137371292</v>
      </c>
      <c r="H69" s="2">
        <f t="shared" si="17"/>
        <v>0.0910421373712931</v>
      </c>
      <c r="I69" s="2">
        <f t="shared" si="18"/>
        <v>0.091042137371293</v>
      </c>
      <c r="J69" s="2">
        <f t="shared" si="19"/>
        <v>0.0910421373712929</v>
      </c>
      <c r="K69" s="2">
        <f t="shared" si="20"/>
        <v>-0.571371966280478</v>
      </c>
      <c r="L69" s="2">
        <f t="shared" si="21"/>
        <v>-0.597653567539936</v>
      </c>
      <c r="M69" s="2">
        <f t="shared" si="22"/>
        <v>0.283873763946459</v>
      </c>
      <c r="N69" s="2">
        <f t="shared" si="23"/>
        <v>0.275035556709873</v>
      </c>
      <c r="O69" s="2">
        <f t="shared" si="24"/>
        <v>106.55</v>
      </c>
      <c r="P69" s="2">
        <f t="shared" si="25"/>
        <v>1.84741111297626e-13</v>
      </c>
      <c r="Q69" s="2">
        <v>593.55</v>
      </c>
      <c r="R69" s="4">
        <v>0.3</v>
      </c>
      <c r="S69" s="2">
        <f t="shared" si="0"/>
        <v>0.14600813977908</v>
      </c>
      <c r="T69" s="2">
        <f t="shared" si="1"/>
        <v>0.143422279982128</v>
      </c>
      <c r="U69" s="2">
        <f t="shared" si="2"/>
        <v>0.14341918854144</v>
      </c>
      <c r="V69" s="2">
        <f t="shared" si="3"/>
        <v>0.143419188536866</v>
      </c>
      <c r="W69" s="2">
        <f t="shared" si="4"/>
        <v>0.143419188536866</v>
      </c>
      <c r="X69" s="2">
        <f t="shared" si="5"/>
        <v>0.143419188536867</v>
      </c>
      <c r="Y69" s="2">
        <f t="shared" si="6"/>
        <v>0.143419188536866</v>
      </c>
      <c r="Z69" s="2">
        <f t="shared" si="7"/>
        <v>-0.3503464461447</v>
      </c>
      <c r="AA69" s="2">
        <f t="shared" si="8"/>
        <v>-0.391747999699058</v>
      </c>
      <c r="AB69" s="2">
        <f t="shared" si="9"/>
        <v>0.636960643863178</v>
      </c>
      <c r="AC69" s="2">
        <f t="shared" si="10"/>
        <v>0.652377789845356</v>
      </c>
      <c r="AD69" s="2">
        <f t="shared" si="11"/>
        <v>593.549999999997</v>
      </c>
      <c r="AE69" s="2">
        <f t="shared" si="12"/>
        <v>-2.50111042987555e-12</v>
      </c>
    </row>
    <row r="70" spans="1:31">
      <c r="A70" s="2">
        <v>23800</v>
      </c>
      <c r="B70" s="2">
        <v>92.95</v>
      </c>
      <c r="C70" s="4">
        <v>0.3</v>
      </c>
      <c r="D70" s="2">
        <f t="shared" si="13"/>
        <v>0.100021162034648</v>
      </c>
      <c r="E70" s="2">
        <f t="shared" si="14"/>
        <v>0.0909461790213121</v>
      </c>
      <c r="F70" s="2">
        <f t="shared" si="15"/>
        <v>0.0907762629799218</v>
      </c>
      <c r="G70" s="2">
        <f t="shared" si="16"/>
        <v>0.0907761925939078</v>
      </c>
      <c r="H70" s="2">
        <f t="shared" si="17"/>
        <v>0.0907761925938953</v>
      </c>
      <c r="I70" s="2">
        <f t="shared" si="18"/>
        <v>0.0907761925938962</v>
      </c>
      <c r="J70" s="2">
        <f t="shared" si="19"/>
        <v>0.0907761925938946</v>
      </c>
      <c r="K70" s="2">
        <f t="shared" si="20"/>
        <v>-0.653377082458372</v>
      </c>
      <c r="L70" s="2">
        <f t="shared" si="21"/>
        <v>-0.679581912073419</v>
      </c>
      <c r="M70" s="2">
        <f t="shared" si="22"/>
        <v>0.256756604814281</v>
      </c>
      <c r="N70" s="2">
        <f t="shared" si="23"/>
        <v>0.248384612939334</v>
      </c>
      <c r="O70" s="2">
        <f t="shared" si="24"/>
        <v>92.9499999999971</v>
      </c>
      <c r="P70" s="2">
        <f t="shared" si="25"/>
        <v>-2.91322521661641e-12</v>
      </c>
      <c r="Q70" s="2">
        <v>622.55</v>
      </c>
      <c r="R70" s="4">
        <v>0.3</v>
      </c>
      <c r="S70" s="2">
        <f t="shared" si="0"/>
        <v>0.145293026168321</v>
      </c>
      <c r="T70" s="2">
        <f t="shared" si="1"/>
        <v>0.141844548491571</v>
      </c>
      <c r="U70" s="2">
        <f t="shared" si="2"/>
        <v>0.141837277255724</v>
      </c>
      <c r="V70" s="2">
        <f t="shared" si="3"/>
        <v>0.141837277221895</v>
      </c>
      <c r="W70" s="2">
        <f t="shared" si="4"/>
        <v>0.141837277221894</v>
      </c>
      <c r="X70" s="2">
        <f t="shared" si="5"/>
        <v>0.141837277221895</v>
      </c>
      <c r="Y70" s="2">
        <f t="shared" si="6"/>
        <v>0.141837277221896</v>
      </c>
      <c r="Z70" s="2">
        <f t="shared" si="7"/>
        <v>-0.406076005643776</v>
      </c>
      <c r="AA70" s="2">
        <f t="shared" si="8"/>
        <v>-0.447020900736368</v>
      </c>
      <c r="AB70" s="2">
        <f t="shared" si="9"/>
        <v>0.657656622372</v>
      </c>
      <c r="AC70" s="2">
        <f t="shared" si="10"/>
        <v>0.672570015442258</v>
      </c>
      <c r="AD70" s="2">
        <f t="shared" si="11"/>
        <v>622.550000000003</v>
      </c>
      <c r="AE70" s="2">
        <f t="shared" si="12"/>
        <v>2.95585778076202e-12</v>
      </c>
    </row>
    <row r="71" spans="1:31">
      <c r="A71" s="2">
        <v>23850</v>
      </c>
      <c r="B71" s="2">
        <v>80.95</v>
      </c>
      <c r="C71" s="4">
        <v>0.3</v>
      </c>
      <c r="D71" s="2">
        <f t="shared" si="13"/>
        <v>0.102161516687588</v>
      </c>
      <c r="E71" s="2">
        <f t="shared" si="14"/>
        <v>0.0909613410760453</v>
      </c>
      <c r="F71" s="2">
        <f t="shared" si="15"/>
        <v>0.0906459777122027</v>
      </c>
      <c r="G71" s="2">
        <f t="shared" si="16"/>
        <v>0.0906456728975677</v>
      </c>
      <c r="H71" s="2">
        <f t="shared" si="17"/>
        <v>0.0906456728972815</v>
      </c>
      <c r="I71" s="2">
        <f t="shared" si="18"/>
        <v>0.0906456728972806</v>
      </c>
      <c r="J71" s="2">
        <f t="shared" si="19"/>
        <v>0.0906456728972812</v>
      </c>
      <c r="K71" s="2">
        <f t="shared" si="20"/>
        <v>-0.734556765544926</v>
      </c>
      <c r="L71" s="2">
        <f t="shared" si="21"/>
        <v>-0.760723917368986</v>
      </c>
      <c r="M71" s="2">
        <f t="shared" si="22"/>
        <v>0.231304738410507</v>
      </c>
      <c r="N71" s="2">
        <f t="shared" si="23"/>
        <v>0.223410993037798</v>
      </c>
      <c r="O71" s="2">
        <f t="shared" si="24"/>
        <v>80.9499999999998</v>
      </c>
      <c r="P71" s="2">
        <f t="shared" si="25"/>
        <v>-1.84741111297626e-13</v>
      </c>
      <c r="Q71" s="2">
        <v>662.45</v>
      </c>
      <c r="R71" s="4">
        <v>0.3</v>
      </c>
      <c r="S71" s="2">
        <f t="shared" si="0"/>
        <v>0.148444485409967</v>
      </c>
      <c r="T71" s="2">
        <f t="shared" si="1"/>
        <v>0.144329830945236</v>
      </c>
      <c r="U71" s="2">
        <f t="shared" si="2"/>
        <v>0.144317583161917</v>
      </c>
      <c r="V71" s="2">
        <f t="shared" si="3"/>
        <v>0.144317583047557</v>
      </c>
      <c r="W71" s="2">
        <f t="shared" si="4"/>
        <v>0.144317583047558</v>
      </c>
      <c r="X71" s="2">
        <f t="shared" si="5"/>
        <v>0.144317583047557</v>
      </c>
      <c r="Y71" s="2">
        <f t="shared" si="6"/>
        <v>0.144317583047557</v>
      </c>
      <c r="Z71" s="2">
        <f t="shared" si="7"/>
        <v>-0.448761408251831</v>
      </c>
      <c r="AA71" s="2">
        <f t="shared" si="8"/>
        <v>-0.490422305962483</v>
      </c>
      <c r="AB71" s="2">
        <f t="shared" si="9"/>
        <v>0.673198109637717</v>
      </c>
      <c r="AC71" s="2">
        <f t="shared" si="10"/>
        <v>0.688082452193465</v>
      </c>
      <c r="AD71" s="2">
        <f t="shared" si="11"/>
        <v>662.449999999999</v>
      </c>
      <c r="AE71" s="2">
        <f t="shared" si="12"/>
        <v>-1.13686837721616e-12</v>
      </c>
    </row>
    <row r="72" spans="1:31">
      <c r="A72" s="2">
        <v>23900</v>
      </c>
      <c r="B72" s="2">
        <v>70.1</v>
      </c>
      <c r="C72" s="4">
        <v>0.3</v>
      </c>
      <c r="D72" s="2">
        <f t="shared" si="13"/>
        <v>0.104472063258866</v>
      </c>
      <c r="E72" s="2">
        <f t="shared" si="14"/>
        <v>0.0910207866110418</v>
      </c>
      <c r="F72" s="2">
        <f t="shared" si="15"/>
        <v>0.0904790559406668</v>
      </c>
      <c r="G72" s="2">
        <f t="shared" si="16"/>
        <v>0.0904779513724061</v>
      </c>
      <c r="H72" s="2">
        <f t="shared" si="17"/>
        <v>0.0904779513677714</v>
      </c>
      <c r="I72" s="2">
        <f t="shared" si="18"/>
        <v>0.0904779513677717</v>
      </c>
      <c r="J72" s="2">
        <f t="shared" si="19"/>
        <v>0.090477951367771</v>
      </c>
      <c r="K72" s="2">
        <f t="shared" si="20"/>
        <v>-0.816148482940227</v>
      </c>
      <c r="L72" s="2">
        <f t="shared" si="21"/>
        <v>-0.842267217729181</v>
      </c>
      <c r="M72" s="2">
        <f t="shared" si="22"/>
        <v>0.207207608684516</v>
      </c>
      <c r="N72" s="2">
        <f t="shared" si="23"/>
        <v>0.199819198200705</v>
      </c>
      <c r="O72" s="2">
        <f t="shared" si="24"/>
        <v>70.0999999999995</v>
      </c>
      <c r="P72" s="2">
        <f t="shared" si="25"/>
        <v>-5.40012479177676e-13</v>
      </c>
      <c r="Q72" s="2">
        <v>705.3</v>
      </c>
      <c r="R72" s="4">
        <v>0.3</v>
      </c>
      <c r="S72" s="2">
        <f t="shared" si="0"/>
        <v>0.152487454514124</v>
      </c>
      <c r="T72" s="2">
        <f t="shared" si="1"/>
        <v>0.147788732052105</v>
      </c>
      <c r="U72" s="2">
        <f t="shared" si="2"/>
        <v>0.147770590812058</v>
      </c>
      <c r="V72" s="2">
        <f t="shared" si="3"/>
        <v>0.147770590525584</v>
      </c>
      <c r="W72" s="2">
        <f t="shared" si="4"/>
        <v>0.147770590525584</v>
      </c>
      <c r="X72" s="2">
        <f t="shared" si="5"/>
        <v>0.147770590525585</v>
      </c>
      <c r="Y72" s="2">
        <f t="shared" si="6"/>
        <v>0.147770590525584</v>
      </c>
      <c r="Z72" s="2">
        <f t="shared" si="7"/>
        <v>-0.486384001731018</v>
      </c>
      <c r="AA72" s="2">
        <f t="shared" si="8"/>
        <v>-0.529041696840146</v>
      </c>
      <c r="AB72" s="2">
        <f t="shared" si="9"/>
        <v>0.686652534353273</v>
      </c>
      <c r="AC72" s="2">
        <f t="shared" si="10"/>
        <v>0.701611737503384</v>
      </c>
      <c r="AD72" s="2">
        <f t="shared" si="11"/>
        <v>705.300000000003</v>
      </c>
      <c r="AE72" s="2">
        <f t="shared" si="12"/>
        <v>2.95585778076202e-12</v>
      </c>
    </row>
    <row r="73" spans="1:31">
      <c r="A73" s="2">
        <v>23950</v>
      </c>
      <c r="B73" s="2">
        <v>61.7</v>
      </c>
      <c r="C73" s="4">
        <v>0.3</v>
      </c>
      <c r="D73" s="2">
        <f t="shared" si="13"/>
        <v>0.107461344817982</v>
      </c>
      <c r="E73" s="2">
        <f t="shared" si="14"/>
        <v>0.0918678570232909</v>
      </c>
      <c r="F73" s="2">
        <f t="shared" si="15"/>
        <v>0.0910333115581693</v>
      </c>
      <c r="G73" s="2">
        <f t="shared" si="16"/>
        <v>0.0910302296875846</v>
      </c>
      <c r="H73" s="2">
        <f t="shared" si="17"/>
        <v>0.0910302296449902</v>
      </c>
      <c r="I73" s="2">
        <f t="shared" si="18"/>
        <v>0.0910302296449903</v>
      </c>
      <c r="J73" s="2">
        <f t="shared" si="19"/>
        <v>0.0910302296449909</v>
      </c>
      <c r="K73" s="2">
        <f t="shared" si="20"/>
        <v>-0.890566558746286</v>
      </c>
      <c r="L73" s="2">
        <f t="shared" si="21"/>
        <v>-0.91684472254125</v>
      </c>
      <c r="M73" s="2">
        <f t="shared" si="22"/>
        <v>0.186580873168012</v>
      </c>
      <c r="N73" s="2">
        <f t="shared" si="23"/>
        <v>0.179612006780334</v>
      </c>
      <c r="O73" s="2">
        <f t="shared" si="24"/>
        <v>61.6999999999989</v>
      </c>
      <c r="P73" s="2">
        <f t="shared" si="25"/>
        <v>-1.09423581307055e-12</v>
      </c>
      <c r="Q73" s="2">
        <v>739.8</v>
      </c>
      <c r="R73" s="4">
        <v>0.3</v>
      </c>
      <c r="S73" s="2">
        <f t="shared" si="0"/>
        <v>0.153112597531008</v>
      </c>
      <c r="T73" s="2">
        <f t="shared" si="1"/>
        <v>0.147453038247065</v>
      </c>
      <c r="U73" s="2">
        <f t="shared" si="2"/>
        <v>0.147421497880585</v>
      </c>
      <c r="V73" s="2">
        <f t="shared" si="3"/>
        <v>0.147421496831893</v>
      </c>
      <c r="W73" s="2">
        <f t="shared" si="4"/>
        <v>0.147421496831894</v>
      </c>
      <c r="X73" s="2">
        <f t="shared" si="5"/>
        <v>0.147421496831894</v>
      </c>
      <c r="Y73" s="2">
        <f t="shared" si="6"/>
        <v>0.147421496831893</v>
      </c>
      <c r="Z73" s="2">
        <f t="shared" si="7"/>
        <v>-0.536744173976115</v>
      </c>
      <c r="AA73" s="2">
        <f t="shared" si="8"/>
        <v>-0.579301094416231</v>
      </c>
      <c r="AB73" s="2">
        <f t="shared" si="9"/>
        <v>0.704277830862502</v>
      </c>
      <c r="AC73" s="2">
        <f t="shared" si="10"/>
        <v>0.718806986405133</v>
      </c>
      <c r="AD73" s="2">
        <f t="shared" si="11"/>
        <v>739.800000000001</v>
      </c>
      <c r="AE73" s="2">
        <f t="shared" si="12"/>
        <v>1.13686837721616e-12</v>
      </c>
    </row>
    <row r="74" spans="1:31">
      <c r="A74" s="2">
        <v>24000</v>
      </c>
      <c r="B74" s="2">
        <v>54.35</v>
      </c>
      <c r="C74" s="4">
        <v>0.3</v>
      </c>
      <c r="D74" s="2">
        <f t="shared" si="13"/>
        <v>0.110609356265433</v>
      </c>
      <c r="E74" s="2">
        <f t="shared" si="14"/>
        <v>0.0928932432389133</v>
      </c>
      <c r="F74" s="2">
        <f t="shared" si="15"/>
        <v>0.0916792936865616</v>
      </c>
      <c r="G74" s="2">
        <f t="shared" si="16"/>
        <v>0.0916717744056282</v>
      </c>
      <c r="H74" s="2">
        <f t="shared" si="17"/>
        <v>0.0916717741118455</v>
      </c>
      <c r="I74" s="2">
        <f t="shared" si="18"/>
        <v>0.0916717741118464</v>
      </c>
      <c r="J74" s="2">
        <f t="shared" si="19"/>
        <v>0.0916717741118459</v>
      </c>
      <c r="K74" s="2">
        <f t="shared" si="20"/>
        <v>-0.962956892664817</v>
      </c>
      <c r="L74" s="2">
        <f t="shared" si="21"/>
        <v>-0.989420254395099</v>
      </c>
      <c r="M74" s="2">
        <f t="shared" si="22"/>
        <v>0.167784578330496</v>
      </c>
      <c r="N74" s="2">
        <f t="shared" si="23"/>
        <v>0.16122878440219</v>
      </c>
      <c r="O74" s="2">
        <f t="shared" si="24"/>
        <v>54.3500000000008</v>
      </c>
      <c r="P74" s="2">
        <f t="shared" si="25"/>
        <v>8.17124146124115e-13</v>
      </c>
      <c r="Q74" s="2">
        <v>789.65</v>
      </c>
      <c r="R74" s="4">
        <v>0.3</v>
      </c>
      <c r="S74" s="2">
        <f t="shared" si="0"/>
        <v>0.159409108733446</v>
      </c>
      <c r="T74" s="2">
        <f t="shared" si="1"/>
        <v>0.153483593278236</v>
      </c>
      <c r="U74" s="2">
        <f t="shared" si="2"/>
        <v>0.153447303661814</v>
      </c>
      <c r="V74" s="2">
        <f t="shared" si="3"/>
        <v>0.153447302205059</v>
      </c>
      <c r="W74" s="2">
        <f t="shared" si="4"/>
        <v>0.15344730220506</v>
      </c>
      <c r="X74" s="2">
        <f t="shared" si="5"/>
        <v>0.153447302205059</v>
      </c>
      <c r="Y74" s="2">
        <f t="shared" si="6"/>
        <v>0.15344730220506</v>
      </c>
      <c r="Z74" s="2">
        <f t="shared" si="7"/>
        <v>-0.561041830293157</v>
      </c>
      <c r="AA74" s="2">
        <f t="shared" si="8"/>
        <v>-0.605338250910413</v>
      </c>
      <c r="AB74" s="2">
        <f t="shared" si="9"/>
        <v>0.71261548929193</v>
      </c>
      <c r="AC74" s="2">
        <f t="shared" si="10"/>
        <v>0.727522864637745</v>
      </c>
      <c r="AD74" s="2">
        <f t="shared" si="11"/>
        <v>789.650000000001</v>
      </c>
      <c r="AE74" s="2">
        <f t="shared" si="12"/>
        <v>1.47792889038101e-12</v>
      </c>
    </row>
    <row r="75" spans="1:31">
      <c r="A75" s="2">
        <v>24050</v>
      </c>
      <c r="B75" s="2">
        <v>48</v>
      </c>
      <c r="C75" s="4">
        <v>0.3</v>
      </c>
      <c r="D75" s="2">
        <f t="shared" si="13"/>
        <v>0.11390891725137</v>
      </c>
      <c r="E75" s="2">
        <f t="shared" si="14"/>
        <v>0.0941347603653294</v>
      </c>
      <c r="F75" s="2">
        <f t="shared" si="15"/>
        <v>0.092456324756418</v>
      </c>
      <c r="G75" s="2">
        <f t="shared" si="16"/>
        <v>0.0924400423349043</v>
      </c>
      <c r="H75" s="2">
        <f t="shared" si="17"/>
        <v>0.0924400407663571</v>
      </c>
      <c r="I75" s="2">
        <f t="shared" si="18"/>
        <v>0.0924400407663574</v>
      </c>
      <c r="J75" s="2">
        <f t="shared" si="19"/>
        <v>0.0924400407663571</v>
      </c>
      <c r="K75" s="2">
        <f t="shared" si="20"/>
        <v>-1.03272262808568</v>
      </c>
      <c r="L75" s="2">
        <f t="shared" si="21"/>
        <v>-1.05940776929586</v>
      </c>
      <c r="M75" s="2">
        <f t="shared" si="22"/>
        <v>0.150866860483255</v>
      </c>
      <c r="N75" s="2">
        <f t="shared" si="23"/>
        <v>0.144707056449975</v>
      </c>
      <c r="O75" s="2">
        <f t="shared" si="24"/>
        <v>47.9999999999995</v>
      </c>
      <c r="P75" s="2">
        <f t="shared" si="25"/>
        <v>-4.54747350886464e-13</v>
      </c>
      <c r="Q75" s="2">
        <v>822.45</v>
      </c>
      <c r="R75" s="4">
        <v>0.3</v>
      </c>
      <c r="S75" s="2">
        <f t="shared" si="0"/>
        <v>0.158916713222675</v>
      </c>
      <c r="T75" s="2">
        <f t="shared" si="1"/>
        <v>0.151815354279079</v>
      </c>
      <c r="U75" s="2">
        <f t="shared" si="2"/>
        <v>0.151753208339119</v>
      </c>
      <c r="V75" s="2">
        <f t="shared" si="3"/>
        <v>0.151753203182111</v>
      </c>
      <c r="W75" s="2">
        <f t="shared" si="4"/>
        <v>0.151753203182109</v>
      </c>
      <c r="X75" s="2">
        <f t="shared" si="5"/>
        <v>0.15175320318211</v>
      </c>
      <c r="Y75" s="2">
        <f t="shared" si="6"/>
        <v>0.151753203182108</v>
      </c>
      <c r="Z75" s="2">
        <f t="shared" si="7"/>
        <v>-0.615304012112643</v>
      </c>
      <c r="AA75" s="2">
        <f t="shared" si="8"/>
        <v>-0.659111388466432</v>
      </c>
      <c r="AB75" s="2">
        <f t="shared" si="9"/>
        <v>0.730823015775011</v>
      </c>
      <c r="AC75" s="2">
        <f t="shared" si="10"/>
        <v>0.745087878463056</v>
      </c>
      <c r="AD75" s="2">
        <f t="shared" si="11"/>
        <v>822.449999999993</v>
      </c>
      <c r="AE75" s="2">
        <f t="shared" si="12"/>
        <v>-6.59383658785373e-12</v>
      </c>
    </row>
    <row r="76" spans="1:31">
      <c r="A76" s="2">
        <v>24100</v>
      </c>
      <c r="B76" s="2">
        <v>40.85</v>
      </c>
      <c r="C76" s="4">
        <v>0.3</v>
      </c>
      <c r="D76" s="2">
        <f t="shared" si="13"/>
        <v>0.116669256649584</v>
      </c>
      <c r="E76" s="2">
        <f t="shared" si="14"/>
        <v>0.0945726067868396</v>
      </c>
      <c r="F76" s="2">
        <f t="shared" si="15"/>
        <v>0.092212405021712</v>
      </c>
      <c r="G76" s="2">
        <f t="shared" si="16"/>
        <v>0.0921751872698183</v>
      </c>
      <c r="H76" s="2">
        <f t="shared" si="17"/>
        <v>0.0921751777301021</v>
      </c>
      <c r="I76" s="2">
        <f t="shared" si="18"/>
        <v>0.0921751777301009</v>
      </c>
      <c r="J76" s="2">
        <f t="shared" si="19"/>
        <v>0.0921751777301019</v>
      </c>
      <c r="K76" s="2">
        <f t="shared" si="20"/>
        <v>-1.11381806484601</v>
      </c>
      <c r="L76" s="2">
        <f t="shared" si="21"/>
        <v>-1.14042674668355</v>
      </c>
      <c r="M76" s="2">
        <f t="shared" si="22"/>
        <v>0.132678622723076</v>
      </c>
      <c r="N76" s="2">
        <f t="shared" si="23"/>
        <v>0.127054277526665</v>
      </c>
      <c r="O76" s="2">
        <f t="shared" si="24"/>
        <v>40.8500000000008</v>
      </c>
      <c r="P76" s="2">
        <f t="shared" si="25"/>
        <v>8.17124146124115e-13</v>
      </c>
      <c r="Q76" s="2">
        <v>871.65</v>
      </c>
      <c r="R76" s="4">
        <v>0.3</v>
      </c>
      <c r="S76" s="2">
        <f t="shared" si="0"/>
        <v>0.164579535186161</v>
      </c>
      <c r="T76" s="2">
        <f t="shared" si="1"/>
        <v>0.157251439211951</v>
      </c>
      <c r="U76" s="2">
        <f t="shared" si="2"/>
        <v>0.15718261721609</v>
      </c>
      <c r="V76" s="2">
        <f t="shared" si="3"/>
        <v>0.157182610646421</v>
      </c>
      <c r="W76" s="2">
        <f t="shared" si="4"/>
        <v>0.157182610646421</v>
      </c>
      <c r="X76" s="2">
        <f t="shared" si="5"/>
        <v>0.15718261064642</v>
      </c>
      <c r="Y76" s="2">
        <f t="shared" si="6"/>
        <v>0.157182610646421</v>
      </c>
      <c r="Z76" s="2">
        <f t="shared" si="7"/>
        <v>-0.638280849731736</v>
      </c>
      <c r="AA76" s="2">
        <f t="shared" si="8"/>
        <v>-0.683655561016055</v>
      </c>
      <c r="AB76" s="2">
        <f t="shared" si="9"/>
        <v>0.738354562162789</v>
      </c>
      <c r="AC76" s="2">
        <f t="shared" si="10"/>
        <v>0.752903654428028</v>
      </c>
      <c r="AD76" s="2">
        <f t="shared" si="11"/>
        <v>871.650000000005</v>
      </c>
      <c r="AE76" s="2">
        <f t="shared" si="12"/>
        <v>5.11590769747272e-12</v>
      </c>
    </row>
    <row r="77" spans="1:31">
      <c r="A77" s="2">
        <v>24150</v>
      </c>
      <c r="B77" s="2">
        <v>37.05</v>
      </c>
      <c r="C77" s="4">
        <v>0.3</v>
      </c>
      <c r="D77" s="2">
        <f t="shared" si="13"/>
        <v>0.120522160023221</v>
      </c>
      <c r="E77" s="2">
        <f t="shared" si="14"/>
        <v>0.0967479704335568</v>
      </c>
      <c r="F77" s="2">
        <f t="shared" si="15"/>
        <v>0.093831755852653</v>
      </c>
      <c r="G77" s="2">
        <f t="shared" si="16"/>
        <v>0.0937703465800861</v>
      </c>
      <c r="H77" s="2">
        <f t="shared" si="17"/>
        <v>0.0937703183902608</v>
      </c>
      <c r="I77" s="2">
        <f t="shared" si="18"/>
        <v>0.0937703183902553</v>
      </c>
      <c r="J77" s="2">
        <f t="shared" si="19"/>
        <v>0.0937703183902552</v>
      </c>
      <c r="K77" s="2">
        <f t="shared" si="20"/>
        <v>-1.17097879052056</v>
      </c>
      <c r="L77" s="2">
        <f t="shared" si="21"/>
        <v>-1.19804794980286</v>
      </c>
      <c r="M77" s="2">
        <f t="shared" si="22"/>
        <v>0.120803651270907</v>
      </c>
      <c r="N77" s="2">
        <f t="shared" si="23"/>
        <v>0.115449175221897</v>
      </c>
      <c r="O77" s="2">
        <f t="shared" si="24"/>
        <v>37.0500000000011</v>
      </c>
      <c r="P77" s="2">
        <f t="shared" si="25"/>
        <v>1.09423581307055e-12</v>
      </c>
      <c r="Q77" s="2">
        <v>925.45</v>
      </c>
      <c r="R77" s="4">
        <v>0.3</v>
      </c>
      <c r="S77" s="2">
        <f t="shared" si="0"/>
        <v>0.171894017114692</v>
      </c>
      <c r="T77" s="2">
        <f t="shared" si="1"/>
        <v>0.164711651435291</v>
      </c>
      <c r="U77" s="2">
        <f t="shared" si="2"/>
        <v>0.16464554002919</v>
      </c>
      <c r="V77" s="2">
        <f t="shared" si="3"/>
        <v>0.164645534000155</v>
      </c>
      <c r="W77" s="2">
        <f t="shared" si="4"/>
        <v>0.164645534000155</v>
      </c>
      <c r="X77" s="2">
        <f t="shared" si="5"/>
        <v>0.164645534000156</v>
      </c>
      <c r="Y77" s="2">
        <f t="shared" si="6"/>
        <v>0.164645534000154</v>
      </c>
      <c r="Z77" s="2">
        <f t="shared" si="7"/>
        <v>-0.650849546658108</v>
      </c>
      <c r="AA77" s="2">
        <f t="shared" si="8"/>
        <v>-0.698378618346037</v>
      </c>
      <c r="AB77" s="2">
        <f t="shared" si="9"/>
        <v>0.74242819350683</v>
      </c>
      <c r="AC77" s="2">
        <f t="shared" si="10"/>
        <v>0.757529777784103</v>
      </c>
      <c r="AD77" s="2">
        <f t="shared" si="11"/>
        <v>925.450000000001</v>
      </c>
      <c r="AE77" s="2">
        <f t="shared" si="12"/>
        <v>0</v>
      </c>
    </row>
    <row r="78" spans="1:31">
      <c r="A78" s="2">
        <v>24200</v>
      </c>
      <c r="B78" s="2">
        <v>31.3</v>
      </c>
      <c r="C78" s="4">
        <v>0.3</v>
      </c>
      <c r="D78" s="2">
        <f t="shared" si="13"/>
        <v>0.123399384138986</v>
      </c>
      <c r="E78" s="2">
        <f t="shared" si="14"/>
        <v>0.0974391121017865</v>
      </c>
      <c r="F78" s="2">
        <f t="shared" si="15"/>
        <v>0.0935923946516079</v>
      </c>
      <c r="G78" s="2">
        <f t="shared" si="16"/>
        <v>0.0934710811912571</v>
      </c>
      <c r="H78" s="2">
        <f t="shared" si="17"/>
        <v>0.0934709553897625</v>
      </c>
      <c r="I78" s="2">
        <f t="shared" si="18"/>
        <v>0.0934709553896268</v>
      </c>
      <c r="J78" s="2">
        <f t="shared" si="19"/>
        <v>0.0934709553896263</v>
      </c>
      <c r="K78" s="2">
        <f t="shared" si="20"/>
        <v>-1.2514666494735</v>
      </c>
      <c r="L78" s="2">
        <f t="shared" si="21"/>
        <v>-1.27844939010131</v>
      </c>
      <c r="M78" s="2">
        <f t="shared" si="22"/>
        <v>0.10538213698364</v>
      </c>
      <c r="N78" s="2">
        <f t="shared" si="23"/>
        <v>0.100545509386037</v>
      </c>
      <c r="O78" s="2">
        <f t="shared" si="24"/>
        <v>31.2999999999997</v>
      </c>
      <c r="P78" s="2">
        <f t="shared" si="25"/>
        <v>-2.73558953267639e-13</v>
      </c>
      <c r="Q78" s="2">
        <v>956.4</v>
      </c>
      <c r="R78" s="4">
        <v>0.3</v>
      </c>
      <c r="S78" s="2">
        <f t="shared" si="0"/>
        <v>0.170016105965061</v>
      </c>
      <c r="T78" s="2">
        <f t="shared" si="1"/>
        <v>0.161388573054506</v>
      </c>
      <c r="U78" s="2">
        <f t="shared" si="2"/>
        <v>0.161275169519352</v>
      </c>
      <c r="V78" s="2">
        <f t="shared" si="3"/>
        <v>0.161275148135495</v>
      </c>
      <c r="W78" s="2">
        <f t="shared" si="4"/>
        <v>0.161275148135496</v>
      </c>
      <c r="X78" s="2">
        <f t="shared" si="5"/>
        <v>0.161275148135495</v>
      </c>
      <c r="Y78" s="2">
        <f t="shared" si="6"/>
        <v>0.161275148135496</v>
      </c>
      <c r="Z78" s="2">
        <f t="shared" si="7"/>
        <v>-0.709859286909319</v>
      </c>
      <c r="AA78" s="2">
        <f t="shared" si="8"/>
        <v>-0.756415412004132</v>
      </c>
      <c r="AB78" s="2">
        <f t="shared" si="9"/>
        <v>0.761104300189675</v>
      </c>
      <c r="AC78" s="2">
        <f t="shared" si="10"/>
        <v>0.775299914786087</v>
      </c>
      <c r="AD78" s="2">
        <f t="shared" si="11"/>
        <v>956.400000000001</v>
      </c>
      <c r="AE78" s="2">
        <f t="shared" si="12"/>
        <v>1.47792889038101e-12</v>
      </c>
    </row>
    <row r="79" spans="1:31">
      <c r="A79" s="2">
        <v>24250</v>
      </c>
      <c r="B79" s="2">
        <v>28.9</v>
      </c>
      <c r="C79" s="4">
        <v>0.3</v>
      </c>
      <c r="D79" s="2">
        <f t="shared" si="13"/>
        <v>0.127408543453537</v>
      </c>
      <c r="E79" s="2">
        <f t="shared" si="14"/>
        <v>0.10009816431302</v>
      </c>
      <c r="F79" s="2">
        <f t="shared" si="15"/>
        <v>0.0956544144858756</v>
      </c>
      <c r="G79" s="2">
        <f t="shared" si="16"/>
        <v>0.095484142974632</v>
      </c>
      <c r="H79" s="2">
        <f t="shared" si="17"/>
        <v>0.095483881604698</v>
      </c>
      <c r="I79" s="2">
        <f t="shared" si="18"/>
        <v>0.0954838816040824</v>
      </c>
      <c r="J79" s="2">
        <f t="shared" si="19"/>
        <v>0.0954838816040827</v>
      </c>
      <c r="K79" s="2">
        <f t="shared" si="20"/>
        <v>-1.29938931314896</v>
      </c>
      <c r="L79" s="2">
        <f t="shared" si="21"/>
        <v>-1.32695313552266</v>
      </c>
      <c r="M79" s="2">
        <f t="shared" si="22"/>
        <v>0.0969051786773982</v>
      </c>
      <c r="N79" s="2">
        <f t="shared" si="23"/>
        <v>0.09226209284559</v>
      </c>
      <c r="O79" s="2">
        <f t="shared" si="24"/>
        <v>28.9000000000005</v>
      </c>
      <c r="P79" s="2">
        <f t="shared" si="25"/>
        <v>5.47117906535277e-13</v>
      </c>
      <c r="Q79" s="2">
        <v>1010</v>
      </c>
      <c r="R79" s="4">
        <v>0.3</v>
      </c>
      <c r="S79" s="2">
        <f t="shared" si="0"/>
        <v>0.176940721725848</v>
      </c>
      <c r="T79" s="2">
        <f t="shared" si="1"/>
        <v>0.168588048551008</v>
      </c>
      <c r="U79" s="2">
        <f t="shared" si="2"/>
        <v>0.168482479247105</v>
      </c>
      <c r="V79" s="2">
        <f t="shared" si="3"/>
        <v>0.168482460967137</v>
      </c>
      <c r="W79" s="2">
        <f t="shared" si="4"/>
        <v>0.168482460967137</v>
      </c>
      <c r="X79" s="2">
        <f t="shared" si="5"/>
        <v>0.168482460967137</v>
      </c>
      <c r="Y79" s="2">
        <f t="shared" si="6"/>
        <v>0.168482460967137</v>
      </c>
      <c r="Z79" s="2">
        <f t="shared" si="7"/>
        <v>-0.719893749201328</v>
      </c>
      <c r="AA79" s="2">
        <f t="shared" si="8"/>
        <v>-0.768530446297881</v>
      </c>
      <c r="AB79" s="2">
        <f t="shared" si="9"/>
        <v>0.764204791527336</v>
      </c>
      <c r="AC79" s="2">
        <f t="shared" si="10"/>
        <v>0.778913945199931</v>
      </c>
      <c r="AD79" s="2">
        <f t="shared" si="11"/>
        <v>1010</v>
      </c>
      <c r="AE79" s="2">
        <f t="shared" si="12"/>
        <v>0</v>
      </c>
    </row>
    <row r="80" spans="1:31">
      <c r="A80" s="2">
        <v>24300</v>
      </c>
      <c r="B80" s="2">
        <v>24</v>
      </c>
      <c r="C80" s="4">
        <v>0.3</v>
      </c>
      <c r="D80" s="2">
        <f t="shared" si="13"/>
        <v>0.130226274661534</v>
      </c>
      <c r="E80" s="2">
        <f t="shared" si="14"/>
        <v>0.100844447662126</v>
      </c>
      <c r="F80" s="2">
        <f t="shared" si="15"/>
        <v>0.0952062981637292</v>
      </c>
      <c r="G80" s="2">
        <f t="shared" si="16"/>
        <v>0.0948968180275817</v>
      </c>
      <c r="H80" s="2">
        <f t="shared" si="17"/>
        <v>0.0948958362375997</v>
      </c>
      <c r="I80" s="2">
        <f t="shared" si="18"/>
        <v>0.0948958362276964</v>
      </c>
      <c r="J80" s="2">
        <f t="shared" si="19"/>
        <v>0.0948958362276958</v>
      </c>
      <c r="K80" s="2">
        <f t="shared" si="20"/>
        <v>-1.38280059169443</v>
      </c>
      <c r="L80" s="2">
        <f t="shared" si="21"/>
        <v>-1.41019465998995</v>
      </c>
      <c r="M80" s="2">
        <f t="shared" si="22"/>
        <v>0.0833630087620796</v>
      </c>
      <c r="N80" s="2">
        <f t="shared" si="23"/>
        <v>0.0792411060875439</v>
      </c>
      <c r="O80" s="2">
        <f t="shared" si="24"/>
        <v>23.9999999999993</v>
      </c>
      <c r="P80" s="2">
        <f t="shared" si="25"/>
        <v>-6.82121026329696e-13</v>
      </c>
      <c r="Q80" s="2">
        <v>1052</v>
      </c>
      <c r="R80" s="4">
        <v>0.3</v>
      </c>
      <c r="S80" s="2">
        <f t="shared" ref="S80:S112" si="26">IFERROR(MEDIAN(0.0001,5,R80-((A80*EXP(-$B$5*$B$4)*NORMSDIST(-(((LN($B$6/A80)+($B$5+R80^2/2)*$B$4)/(R80*SQRT($B$4))-R80*SQRT($B$4))))-$B$6*NORMSDIST(-((LN($B$6/A80)+($B$5+R80^2/2)*$B$4)/(R80*SQRT($B$4)))))-Q80)/($B$6*SQRT($B$4)*NORMDIST((LN($B$6/A80)+($B$5+R80^2/2)*$B$4)/(R80*SQRT($B$4)),0,1,FALSE()))),R80)</f>
        <v>0.179072299931537</v>
      </c>
      <c r="T80" s="2">
        <f t="shared" ref="T80:T112" si="27">IFERROR(MEDIAN(0.0001,5,S80-((A80*EXP(-$B$5*$B$4)*NORMSDIST(-(((LN($B$6/A80)+($B$5+S80^2/2)*$B$4)/(S80*SQRT($B$4))-S80*SQRT($B$4))))-$B$6*NORMSDIST(-((LN($B$6/A80)+($B$5+S80^2/2)*$B$4)/(S80*SQRT($B$4)))))-Q80)/($B$6*SQRT($B$4)*NORMDIST((LN($B$6/A80)+($B$5+S80^2/2)*$B$4)/(S80*SQRT($B$4)),0,1,FALSE()))),S80)</f>
        <v>0.170086090272943</v>
      </c>
      <c r="U80" s="2">
        <f t="shared" ref="U80:U112" si="28">IFERROR(MEDIAN(0.0001,5,T80-((A80*EXP(-$B$5*$B$4)*NORMSDIST(-(((LN($B$6/A80)+($B$5+T80^2/2)*$B$4)/(T80*SQRT($B$4))-T80*SQRT($B$4))))-$B$6*NORMSDIST(-((LN($B$6/A80)+($B$5+T80^2/2)*$B$4)/(T80*SQRT($B$4)))))-Q80)/($B$6*SQRT($B$4)*NORMDIST((LN($B$6/A80)+($B$5+T80^2/2)*$B$4)/(T80*SQRT($B$4)),0,1,FALSE()))),T80)</f>
        <v>0.169953615733847</v>
      </c>
      <c r="V80" s="2">
        <f t="shared" ref="V80:V112" si="29">IFERROR(MEDIAN(0.0001,5,U80-((A80*EXP(-$B$5*$B$4)*NORMSDIST(-(((LN($B$6/A80)+($B$5+U80^2/2)*$B$4)/(U80*SQRT($B$4))-U80*SQRT($B$4))))-$B$6*NORMSDIST(-((LN($B$6/A80)+($B$5+U80^2/2)*$B$4)/(U80*SQRT($B$4)))))-Q80)/($B$6*SQRT($B$4)*NORMDIST((LN($B$6/A80)+($B$5+U80^2/2)*$B$4)/(U80*SQRT($B$4)),0,1,FALSE()))),U80)</f>
        <v>0.169953584411986</v>
      </c>
      <c r="W80" s="2">
        <f t="shared" ref="W80:W112" si="30">IFERROR(MEDIAN(0.0001,5,V80-((A80*EXP(-$B$5*$B$4)*NORMSDIST(-(((LN($B$6/A80)+($B$5+V80^2/2)*$B$4)/(V80*SQRT($B$4))-V80*SQRT($B$4))))-$B$6*NORMSDIST(-((LN($B$6/A80)+($B$5+V80^2/2)*$B$4)/(V80*SQRT($B$4)))))-Q80)/($B$6*SQRT($B$4)*NORMDIST((LN($B$6/A80)+($B$5+V80^2/2)*$B$4)/(V80*SQRT($B$4)),0,1,FALSE()))),V80)</f>
        <v>0.169953584411984</v>
      </c>
      <c r="X80" s="2">
        <f t="shared" ref="X80:X112" si="31">IFERROR(MEDIAN(0.0001,5,W80-((A80*EXP(-$B$5*$B$4)*NORMSDIST(-(((LN($B$6/A80)+($B$5+W80^2/2)*$B$4)/(W80*SQRT($B$4))-W80*SQRT($B$4))))-$B$6*NORMSDIST(-((LN($B$6/A80)+($B$5+W80^2/2)*$B$4)/(W80*SQRT($B$4)))))-Q80)/($B$6*SQRT($B$4)*NORMDIST((LN($B$6/A80)+($B$5+W80^2/2)*$B$4)/(W80*SQRT($B$4)),0,1,FALSE()))),W80)</f>
        <v>0.169953584411984</v>
      </c>
      <c r="Y80" s="2">
        <f t="shared" ref="Y80:Y112" si="32">IFERROR(MEDIAN(0.0001,5,X80-((A80*EXP(-$B$5*$B$4)*NORMSDIST(-(((LN($B$6/A80)+($B$5+X80^2/2)*$B$4)/(X80*SQRT($B$4))-X80*SQRT($B$4))))-$B$6*NORMSDIST(-((LN($B$6/A80)+($B$5+X80^2/2)*$B$4)/(X80*SQRT($B$4)))))-Q80)/($B$6*SQRT($B$4)*NORMDIST((LN($B$6/A80)+($B$5+X80^2/2)*$B$4)/(X80*SQRT($B$4)),0,1,FALSE()))),X80)</f>
        <v>0.169953584411984</v>
      </c>
      <c r="Z80" s="2">
        <f t="shared" ref="Z80:Z112" si="33">(LN($B$6/A80)+($B$5+Y80^2/2)*$B$4)/(Y80*SQRT($B$4))</f>
        <v>-0.755222270050686</v>
      </c>
      <c r="AA80" s="2">
        <f t="shared" ref="AA80:AA112" si="34">Z80-Y80*SQRT($B$4)</f>
        <v>-0.804283643905686</v>
      </c>
      <c r="AB80" s="2">
        <f t="shared" ref="AB80:AB112" si="35">NORMSDIST(-Z80)</f>
        <v>0.774942185761657</v>
      </c>
      <c r="AC80" s="2">
        <f t="shared" ref="AC80:AC112" si="36">NORMSDIST(-AA80)</f>
        <v>0.789383409222311</v>
      </c>
      <c r="AD80" s="2">
        <f t="shared" ref="AD80:AD112" si="37">A80*EXP(-$B$5*$B$4)*AC80-$B$6*AB80</f>
        <v>1052</v>
      </c>
      <c r="AE80" s="2">
        <f t="shared" ref="AE80:AE112" si="38">AD80-Q80</f>
        <v>0</v>
      </c>
    </row>
    <row r="81" spans="1:31">
      <c r="A81" s="2">
        <v>24350</v>
      </c>
      <c r="B81" s="2">
        <v>22.45</v>
      </c>
      <c r="C81" s="4">
        <v>0.3</v>
      </c>
      <c r="D81" s="2">
        <f t="shared" si="13"/>
        <v>0.134215851020494</v>
      </c>
      <c r="E81" s="2">
        <f t="shared" si="14"/>
        <v>0.103762465443668</v>
      </c>
      <c r="F81" s="2">
        <f t="shared" si="15"/>
        <v>0.0975273044547508</v>
      </c>
      <c r="G81" s="2">
        <f t="shared" si="16"/>
        <v>0.0971360379396645</v>
      </c>
      <c r="H81" s="2">
        <f t="shared" si="17"/>
        <v>0.0971344136176962</v>
      </c>
      <c r="I81" s="2">
        <f t="shared" si="18"/>
        <v>0.0971344135896301</v>
      </c>
      <c r="J81" s="2">
        <f t="shared" si="19"/>
        <v>0.0971344135896291</v>
      </c>
      <c r="K81" s="2">
        <f t="shared" si="20"/>
        <v>-1.42359874695006</v>
      </c>
      <c r="L81" s="2">
        <f t="shared" si="21"/>
        <v>-1.45163903686684</v>
      </c>
      <c r="M81" s="2">
        <f t="shared" si="22"/>
        <v>0.0772813293974867</v>
      </c>
      <c r="N81" s="2">
        <f t="shared" si="23"/>
        <v>0.0733009992227939</v>
      </c>
      <c r="O81" s="2">
        <f t="shared" si="24"/>
        <v>22.4499999999996</v>
      </c>
      <c r="P81" s="2">
        <f t="shared" si="25"/>
        <v>-4.08562073062058e-13</v>
      </c>
      <c r="Q81" s="2">
        <v>1096</v>
      </c>
      <c r="R81" s="4">
        <v>0.3</v>
      </c>
      <c r="S81" s="2">
        <f t="shared" si="26"/>
        <v>0.181834164718154</v>
      </c>
      <c r="T81" s="2">
        <f t="shared" si="27"/>
        <v>0.172380243723096</v>
      </c>
      <c r="U81" s="2">
        <f t="shared" si="28"/>
        <v>0.172224070931931</v>
      </c>
      <c r="V81" s="2">
        <f t="shared" si="29"/>
        <v>0.172224024490183</v>
      </c>
      <c r="W81" s="2">
        <f t="shared" si="30"/>
        <v>0.172224024490181</v>
      </c>
      <c r="X81" s="2">
        <f t="shared" si="31"/>
        <v>0.172224024490179</v>
      </c>
      <c r="Y81" s="2">
        <f t="shared" si="32"/>
        <v>0.172224024490179</v>
      </c>
      <c r="Z81" s="2">
        <f t="shared" si="33"/>
        <v>-0.78595919068336</v>
      </c>
      <c r="AA81" s="2">
        <f t="shared" si="34"/>
        <v>-0.835675984133523</v>
      </c>
      <c r="AB81" s="2">
        <f t="shared" si="35"/>
        <v>0.784054302144621</v>
      </c>
      <c r="AC81" s="2">
        <f t="shared" si="36"/>
        <v>0.798331395292985</v>
      </c>
      <c r="AD81" s="2">
        <f t="shared" si="37"/>
        <v>1096</v>
      </c>
      <c r="AE81" s="2">
        <f t="shared" si="38"/>
        <v>0</v>
      </c>
    </row>
    <row r="82" spans="1:31">
      <c r="A82" s="2">
        <v>24400</v>
      </c>
      <c r="B82" s="2">
        <v>20.65</v>
      </c>
      <c r="C82" s="4">
        <v>0.3</v>
      </c>
      <c r="D82" s="2">
        <f t="shared" si="13"/>
        <v>0.13793869721416</v>
      </c>
      <c r="E82" s="2">
        <f t="shared" si="14"/>
        <v>0.106373281742859</v>
      </c>
      <c r="F82" s="2">
        <f t="shared" si="15"/>
        <v>0.0994366875966108</v>
      </c>
      <c r="G82" s="2">
        <f t="shared" si="16"/>
        <v>0.0989314675424907</v>
      </c>
      <c r="H82" s="2">
        <f t="shared" si="17"/>
        <v>0.0989286371970516</v>
      </c>
      <c r="I82" s="2">
        <f t="shared" si="18"/>
        <v>0.098928637107971</v>
      </c>
      <c r="J82" s="2">
        <f t="shared" si="19"/>
        <v>0.0989286371079714</v>
      </c>
      <c r="K82" s="2">
        <f t="shared" si="20"/>
        <v>-1.46909439445002</v>
      </c>
      <c r="L82" s="2">
        <f t="shared" si="21"/>
        <v>-1.49765263208244</v>
      </c>
      <c r="M82" s="2">
        <f t="shared" si="22"/>
        <v>0.0709035939878202</v>
      </c>
      <c r="N82" s="2">
        <f t="shared" si="23"/>
        <v>0.0671117623111918</v>
      </c>
      <c r="O82" s="2">
        <f t="shared" si="24"/>
        <v>20.6499999999999</v>
      </c>
      <c r="P82" s="2">
        <f t="shared" si="25"/>
        <v>-1.35003119794419e-13</v>
      </c>
      <c r="Q82" s="2">
        <v>1161.05</v>
      </c>
      <c r="R82" s="4">
        <v>0.3</v>
      </c>
      <c r="S82" s="2">
        <f t="shared" si="26"/>
        <v>0.193107587532845</v>
      </c>
      <c r="T82" s="2">
        <f t="shared" si="27"/>
        <v>0.185167969517104</v>
      </c>
      <c r="U82" s="2">
        <f t="shared" si="28"/>
        <v>0.185068117504204</v>
      </c>
      <c r="V82" s="2">
        <f t="shared" si="29"/>
        <v>0.185068100600977</v>
      </c>
      <c r="W82" s="2">
        <f t="shared" si="30"/>
        <v>0.185068100600977</v>
      </c>
      <c r="X82" s="2">
        <f t="shared" si="31"/>
        <v>0.185068100600977</v>
      </c>
      <c r="Y82" s="2">
        <f t="shared" si="32"/>
        <v>0.185068100600977</v>
      </c>
      <c r="Z82" s="2">
        <f t="shared" si="33"/>
        <v>-0.766228910941863</v>
      </c>
      <c r="AA82" s="2">
        <f t="shared" si="34"/>
        <v>-0.819653469792057</v>
      </c>
      <c r="AB82" s="2">
        <f t="shared" si="35"/>
        <v>0.778229945611593</v>
      </c>
      <c r="AC82" s="2">
        <f t="shared" si="36"/>
        <v>0.793793158672746</v>
      </c>
      <c r="AD82" s="2">
        <f t="shared" si="37"/>
        <v>1161.05</v>
      </c>
      <c r="AE82" s="2">
        <f t="shared" si="38"/>
        <v>0</v>
      </c>
    </row>
    <row r="83" spans="1:31">
      <c r="A83" s="2">
        <v>24450</v>
      </c>
      <c r="B83" s="2">
        <v>17.4</v>
      </c>
      <c r="C83" s="4">
        <v>0.3</v>
      </c>
      <c r="D83" s="2">
        <f t="shared" si="13"/>
        <v>0.140896864093122</v>
      </c>
      <c r="E83" s="2">
        <f t="shared" si="14"/>
        <v>0.107727384352886</v>
      </c>
      <c r="F83" s="2">
        <f t="shared" si="15"/>
        <v>0.0995416408433162</v>
      </c>
      <c r="G83" s="2">
        <f t="shared" si="16"/>
        <v>0.0987690989219028</v>
      </c>
      <c r="H83" s="2">
        <f t="shared" si="17"/>
        <v>0.0987617922293841</v>
      </c>
      <c r="I83" s="2">
        <f t="shared" si="18"/>
        <v>0.0987617915736441</v>
      </c>
      <c r="J83" s="2">
        <f t="shared" si="19"/>
        <v>0.0987617915736445</v>
      </c>
      <c r="K83" s="2">
        <f t="shared" si="20"/>
        <v>-1.54342656480674</v>
      </c>
      <c r="L83" s="2">
        <f t="shared" si="21"/>
        <v>-1.57193663828209</v>
      </c>
      <c r="M83" s="2">
        <f t="shared" si="22"/>
        <v>0.0613636561859944</v>
      </c>
      <c r="N83" s="2">
        <f t="shared" si="23"/>
        <v>0.0579826232479171</v>
      </c>
      <c r="O83" s="2">
        <f t="shared" si="24"/>
        <v>17.3999999999999</v>
      </c>
      <c r="P83" s="2">
        <f t="shared" si="25"/>
        <v>-1.35003119794419e-13</v>
      </c>
      <c r="Q83" s="2">
        <v>1235</v>
      </c>
      <c r="R83" s="4">
        <v>0.3</v>
      </c>
      <c r="S83" s="2">
        <f t="shared" si="26"/>
        <v>0.208114805945001</v>
      </c>
      <c r="T83" s="2">
        <f t="shared" si="27"/>
        <v>0.202252211204771</v>
      </c>
      <c r="U83" s="2">
        <f t="shared" si="28"/>
        <v>0.202205355809388</v>
      </c>
      <c r="V83" s="2">
        <f t="shared" si="29"/>
        <v>0.202205352672895</v>
      </c>
      <c r="W83" s="2">
        <f t="shared" si="30"/>
        <v>0.202205352672895</v>
      </c>
      <c r="X83" s="2">
        <f t="shared" si="31"/>
        <v>0.202205352672895</v>
      </c>
      <c r="Y83" s="2">
        <f t="shared" si="32"/>
        <v>0.202205352672895</v>
      </c>
      <c r="Z83" s="2">
        <f t="shared" si="33"/>
        <v>-0.731622051192438</v>
      </c>
      <c r="AA83" s="2">
        <f t="shared" si="34"/>
        <v>-0.789993708591077</v>
      </c>
      <c r="AB83" s="2">
        <f t="shared" si="35"/>
        <v>0.767800357398429</v>
      </c>
      <c r="AC83" s="2">
        <f t="shared" si="36"/>
        <v>0.785234278716614</v>
      </c>
      <c r="AD83" s="2">
        <f t="shared" si="37"/>
        <v>1235</v>
      </c>
      <c r="AE83" s="2">
        <f t="shared" si="38"/>
        <v>0</v>
      </c>
    </row>
    <row r="84" spans="1:31">
      <c r="A84" s="2">
        <v>24500</v>
      </c>
      <c r="B84" s="2">
        <v>16.15</v>
      </c>
      <c r="C84" s="4">
        <v>0.3</v>
      </c>
      <c r="D84" s="2">
        <f t="shared" si="13"/>
        <v>0.144528945048775</v>
      </c>
      <c r="E84" s="2">
        <f t="shared" si="14"/>
        <v>0.11048148394882</v>
      </c>
      <c r="F84" s="2">
        <f t="shared" si="15"/>
        <v>0.101628532945087</v>
      </c>
      <c r="G84" s="2">
        <f t="shared" si="16"/>
        <v>0.100696238466409</v>
      </c>
      <c r="H84" s="2">
        <f t="shared" si="17"/>
        <v>0.100685249420668</v>
      </c>
      <c r="I84" s="2">
        <f t="shared" si="18"/>
        <v>0.10068524788908</v>
      </c>
      <c r="J84" s="2">
        <f t="shared" si="19"/>
        <v>0.100685247889079</v>
      </c>
      <c r="K84" s="2">
        <f t="shared" si="20"/>
        <v>-1.58367807595205</v>
      </c>
      <c r="L84" s="2">
        <f t="shared" si="21"/>
        <v>-1.61274340343814</v>
      </c>
      <c r="M84" s="2">
        <f t="shared" si="22"/>
        <v>0.0566334982123703</v>
      </c>
      <c r="N84" s="2">
        <f t="shared" si="23"/>
        <v>0.0534001333194278</v>
      </c>
      <c r="O84" s="2">
        <f t="shared" si="24"/>
        <v>16.1500000000003</v>
      </c>
      <c r="P84" s="2">
        <f t="shared" si="25"/>
        <v>3.19744231092045e-13</v>
      </c>
      <c r="Q84" s="2">
        <v>1247.3</v>
      </c>
      <c r="R84" s="4">
        <v>0.3</v>
      </c>
      <c r="S84" s="2">
        <f t="shared" si="26"/>
        <v>0.197263179568492</v>
      </c>
      <c r="T84" s="2">
        <f t="shared" si="27"/>
        <v>0.188504802523363</v>
      </c>
      <c r="U84" s="2">
        <f t="shared" si="28"/>
        <v>0.188366663143741</v>
      </c>
      <c r="V84" s="2">
        <f t="shared" si="29"/>
        <v>0.188366626257063</v>
      </c>
      <c r="W84" s="2">
        <f t="shared" si="30"/>
        <v>0.188366626257061</v>
      </c>
      <c r="X84" s="2">
        <f t="shared" si="31"/>
        <v>0.18836662625706</v>
      </c>
      <c r="Y84" s="2">
        <f t="shared" si="32"/>
        <v>0.18836662625706</v>
      </c>
      <c r="Z84" s="2">
        <f t="shared" si="33"/>
        <v>-0.827083141398424</v>
      </c>
      <c r="AA84" s="2">
        <f t="shared" si="34"/>
        <v>-0.881459902586351</v>
      </c>
      <c r="AB84" s="2">
        <f t="shared" si="35"/>
        <v>0.795905030554875</v>
      </c>
      <c r="AC84" s="2">
        <f t="shared" si="36"/>
        <v>0.810965526194174</v>
      </c>
      <c r="AD84" s="2">
        <f t="shared" si="37"/>
        <v>1247.3</v>
      </c>
      <c r="AE84" s="2">
        <f t="shared" si="38"/>
        <v>0</v>
      </c>
    </row>
    <row r="85" spans="1:31">
      <c r="A85" s="2">
        <v>24550</v>
      </c>
      <c r="B85" s="2">
        <v>15.05</v>
      </c>
      <c r="C85" s="4">
        <v>0.3</v>
      </c>
      <c r="D85" s="2">
        <f t="shared" si="13"/>
        <v>0.148079427056874</v>
      </c>
      <c r="E85" s="2">
        <f t="shared" si="14"/>
        <v>0.113249061870534</v>
      </c>
      <c r="F85" s="2">
        <f t="shared" si="15"/>
        <v>0.103761050097359</v>
      </c>
      <c r="G85" s="2">
        <f t="shared" si="16"/>
        <v>0.102660101900138</v>
      </c>
      <c r="H85" s="2">
        <f t="shared" si="17"/>
        <v>0.102644336467257</v>
      </c>
      <c r="I85" s="2">
        <f t="shared" si="18"/>
        <v>0.102644333225094</v>
      </c>
      <c r="J85" s="2">
        <f t="shared" si="19"/>
        <v>0.102644333225094</v>
      </c>
      <c r="K85" s="2">
        <f t="shared" si="20"/>
        <v>-1.62169610398441</v>
      </c>
      <c r="L85" s="2">
        <f t="shared" si="21"/>
        <v>-1.65132697069356</v>
      </c>
      <c r="M85" s="2">
        <f t="shared" si="22"/>
        <v>0.0524342167161724</v>
      </c>
      <c r="N85" s="2">
        <f t="shared" si="23"/>
        <v>0.0493359139676545</v>
      </c>
      <c r="O85" s="2">
        <f t="shared" si="24"/>
        <v>15.0500000000004</v>
      </c>
      <c r="P85" s="2">
        <f t="shared" si="25"/>
        <v>4.08562073062058e-13</v>
      </c>
      <c r="Q85" s="2">
        <v>1350</v>
      </c>
      <c r="R85" s="4">
        <v>0.3</v>
      </c>
      <c r="S85" s="2">
        <f t="shared" si="26"/>
        <v>0.224509261393911</v>
      </c>
      <c r="T85" s="2">
        <f t="shared" si="27"/>
        <v>0.220194143435521</v>
      </c>
      <c r="U85" s="2">
        <f t="shared" si="28"/>
        <v>0.220170341874873</v>
      </c>
      <c r="V85" s="2">
        <f t="shared" si="29"/>
        <v>0.220170341127423</v>
      </c>
      <c r="W85" s="2">
        <f t="shared" si="30"/>
        <v>0.220170341127423</v>
      </c>
      <c r="X85" s="2">
        <f t="shared" si="31"/>
        <v>0.220170341127423</v>
      </c>
      <c r="Y85" s="2">
        <f t="shared" si="32"/>
        <v>0.220170341127423</v>
      </c>
      <c r="Z85" s="2">
        <f t="shared" si="33"/>
        <v>-0.731169667000349</v>
      </c>
      <c r="AA85" s="2">
        <f t="shared" si="34"/>
        <v>-0.794727369859094</v>
      </c>
      <c r="AB85" s="2">
        <f t="shared" si="35"/>
        <v>0.767662237337621</v>
      </c>
      <c r="AC85" s="2">
        <f t="shared" si="36"/>
        <v>0.786613946126479</v>
      </c>
      <c r="AD85" s="2">
        <f t="shared" si="37"/>
        <v>1350</v>
      </c>
      <c r="AE85" s="2">
        <f t="shared" si="38"/>
        <v>0</v>
      </c>
    </row>
    <row r="86" spans="1:31">
      <c r="A86" s="2">
        <v>24600</v>
      </c>
      <c r="B86" s="2">
        <v>12.8</v>
      </c>
      <c r="C86" s="4">
        <v>0.3</v>
      </c>
      <c r="D86" s="2">
        <f t="shared" si="13"/>
        <v>0.150993999422741</v>
      </c>
      <c r="E86" s="2">
        <f t="shared" si="14"/>
        <v>0.114937535128972</v>
      </c>
      <c r="F86" s="2">
        <f t="shared" si="15"/>
        <v>0.104240999627661</v>
      </c>
      <c r="G86" s="2">
        <f t="shared" si="16"/>
        <v>0.102731983071205</v>
      </c>
      <c r="H86" s="2">
        <f t="shared" si="17"/>
        <v>0.102699856140017</v>
      </c>
      <c r="I86" s="2">
        <f t="shared" si="18"/>
        <v>0.102699841546306</v>
      </c>
      <c r="J86" s="2">
        <f t="shared" si="19"/>
        <v>0.102699841546303</v>
      </c>
      <c r="K86" s="2">
        <f t="shared" si="20"/>
        <v>-1.68943096176771</v>
      </c>
      <c r="L86" s="2">
        <f t="shared" si="21"/>
        <v>-1.71907785234896</v>
      </c>
      <c r="M86" s="2">
        <f t="shared" si="22"/>
        <v>0.0455684358743136</v>
      </c>
      <c r="N86" s="2">
        <f t="shared" si="23"/>
        <v>0.0428000984950317</v>
      </c>
      <c r="O86" s="2">
        <f t="shared" si="24"/>
        <v>12.8000000000002</v>
      </c>
      <c r="P86" s="2">
        <f t="shared" si="25"/>
        <v>1.81188397618826e-13</v>
      </c>
      <c r="Q86" s="2">
        <v>1340</v>
      </c>
      <c r="R86" s="4">
        <v>0.3</v>
      </c>
      <c r="S86" s="2">
        <f t="shared" si="26"/>
        <v>0.203552567459536</v>
      </c>
      <c r="T86" s="2">
        <f t="shared" si="27"/>
        <v>0.194635869072757</v>
      </c>
      <c r="U86" s="2">
        <f t="shared" si="28"/>
        <v>0.194481477443177</v>
      </c>
      <c r="V86" s="2">
        <f t="shared" si="29"/>
        <v>0.194481427913661</v>
      </c>
      <c r="W86" s="2">
        <f t="shared" si="30"/>
        <v>0.194481427913655</v>
      </c>
      <c r="X86" s="2">
        <f t="shared" si="31"/>
        <v>0.194481427913655</v>
      </c>
      <c r="Y86" s="2">
        <f t="shared" si="32"/>
        <v>0.194481427913655</v>
      </c>
      <c r="Z86" s="2">
        <f t="shared" si="33"/>
        <v>-0.871894945683368</v>
      </c>
      <c r="AA86" s="2">
        <f t="shared" si="34"/>
        <v>-0.928036898062534</v>
      </c>
      <c r="AB86" s="2">
        <f t="shared" si="35"/>
        <v>0.808367154366515</v>
      </c>
      <c r="AC86" s="2">
        <f t="shared" si="36"/>
        <v>0.823305784981664</v>
      </c>
      <c r="AD86" s="2">
        <f t="shared" si="37"/>
        <v>1340</v>
      </c>
      <c r="AE86" s="2">
        <f t="shared" si="38"/>
        <v>0</v>
      </c>
    </row>
    <row r="87" spans="1:31">
      <c r="A87" s="2">
        <v>24650</v>
      </c>
      <c r="B87" s="2">
        <v>12.15</v>
      </c>
      <c r="C87" s="4">
        <v>0.3</v>
      </c>
      <c r="D87" s="2">
        <f t="shared" si="13"/>
        <v>0.154461063328459</v>
      </c>
      <c r="E87" s="2">
        <f t="shared" si="14"/>
        <v>0.117863189727504</v>
      </c>
      <c r="F87" s="2">
        <f t="shared" si="15"/>
        <v>0.106667203124976</v>
      </c>
      <c r="G87" s="2">
        <f t="shared" si="16"/>
        <v>0.104989316289167</v>
      </c>
      <c r="H87" s="2">
        <f t="shared" si="17"/>
        <v>0.104949014499972</v>
      </c>
      <c r="I87" s="2">
        <f t="shared" si="18"/>
        <v>0.104948991214654</v>
      </c>
      <c r="J87" s="2">
        <f t="shared" si="19"/>
        <v>0.104948991214645</v>
      </c>
      <c r="K87" s="2">
        <f t="shared" si="20"/>
        <v>-1.71960293107301</v>
      </c>
      <c r="L87" s="2">
        <f t="shared" si="21"/>
        <v>-1.74989909523749</v>
      </c>
      <c r="M87" s="2">
        <f t="shared" si="22"/>
        <v>0.0427523215118604</v>
      </c>
      <c r="N87" s="2">
        <f t="shared" si="23"/>
        <v>0.0400678634248627</v>
      </c>
      <c r="O87" s="2">
        <f t="shared" si="24"/>
        <v>12.1499999999994</v>
      </c>
      <c r="P87" s="2">
        <f t="shared" si="25"/>
        <v>-5.91526827520283e-13</v>
      </c>
      <c r="Q87" s="2">
        <v>1470</v>
      </c>
      <c r="R87" s="4">
        <v>0.3</v>
      </c>
      <c r="S87" s="2">
        <f t="shared" si="26"/>
        <v>0.243109100103807</v>
      </c>
      <c r="T87" s="2">
        <f t="shared" si="27"/>
        <v>0.240500684247545</v>
      </c>
      <c r="U87" s="2">
        <f t="shared" si="28"/>
        <v>0.240492736125553</v>
      </c>
      <c r="V87" s="2">
        <f t="shared" si="29"/>
        <v>0.240492736050445</v>
      </c>
      <c r="W87" s="2">
        <f t="shared" si="30"/>
        <v>0.240492736050445</v>
      </c>
      <c r="X87" s="2">
        <f t="shared" si="31"/>
        <v>0.240492736050445</v>
      </c>
      <c r="Y87" s="2">
        <f t="shared" si="32"/>
        <v>0.240492736050445</v>
      </c>
      <c r="Z87" s="2">
        <f t="shared" si="33"/>
        <v>-0.722318499166432</v>
      </c>
      <c r="AA87" s="2">
        <f t="shared" si="34"/>
        <v>-0.791742772114868</v>
      </c>
      <c r="AB87" s="2">
        <f t="shared" si="35"/>
        <v>0.76495065906346</v>
      </c>
      <c r="AC87" s="2">
        <f t="shared" si="36"/>
        <v>0.785744661462653</v>
      </c>
      <c r="AD87" s="2">
        <f t="shared" si="37"/>
        <v>1470</v>
      </c>
      <c r="AE87" s="2">
        <f t="shared" si="38"/>
        <v>0</v>
      </c>
    </row>
    <row r="88" spans="1:31">
      <c r="A88" s="2">
        <v>24700</v>
      </c>
      <c r="B88" s="2">
        <v>11.35</v>
      </c>
      <c r="C88" s="4">
        <v>0.3</v>
      </c>
      <c r="D88" s="2">
        <f t="shared" si="13"/>
        <v>0.157736279288327</v>
      </c>
      <c r="E88" s="2">
        <f t="shared" si="14"/>
        <v>0.120569523554848</v>
      </c>
      <c r="F88" s="2">
        <f t="shared" si="15"/>
        <v>0.10878835525135</v>
      </c>
      <c r="G88" s="2">
        <f t="shared" si="16"/>
        <v>0.106888268040187</v>
      </c>
      <c r="H88" s="2">
        <f t="shared" si="17"/>
        <v>0.106835370895507</v>
      </c>
      <c r="I88" s="2">
        <f t="shared" si="18"/>
        <v>0.106835329878363</v>
      </c>
      <c r="J88" s="2">
        <f t="shared" si="19"/>
        <v>0.106835329878338</v>
      </c>
      <c r="K88" s="2">
        <f t="shared" si="20"/>
        <v>-1.75440455196939</v>
      </c>
      <c r="L88" s="2">
        <f t="shared" si="21"/>
        <v>-1.7852452552015</v>
      </c>
      <c r="M88" s="2">
        <f t="shared" si="22"/>
        <v>0.0396806059585788</v>
      </c>
      <c r="N88" s="2">
        <f t="shared" si="23"/>
        <v>0.0371107721738783</v>
      </c>
      <c r="O88" s="2">
        <f t="shared" si="24"/>
        <v>11.3499999999998</v>
      </c>
      <c r="P88" s="2">
        <f t="shared" si="25"/>
        <v>-2.04281036531029e-13</v>
      </c>
      <c r="Q88" s="2">
        <v>1431.55</v>
      </c>
      <c r="R88" s="4">
        <v>0.3</v>
      </c>
      <c r="S88" s="2">
        <f t="shared" si="26"/>
        <v>0.208836132581245</v>
      </c>
      <c r="T88" s="2">
        <f t="shared" si="27"/>
        <v>0.199698547104962</v>
      </c>
      <c r="U88" s="2">
        <f t="shared" si="28"/>
        <v>0.199522892262135</v>
      </c>
      <c r="V88" s="2">
        <f t="shared" si="29"/>
        <v>0.19952282297313</v>
      </c>
      <c r="W88" s="2">
        <f t="shared" si="30"/>
        <v>0.199522822973118</v>
      </c>
      <c r="X88" s="2">
        <f t="shared" si="31"/>
        <v>0.199522822973118</v>
      </c>
      <c r="Y88" s="2">
        <f t="shared" si="32"/>
        <v>0.199522822973118</v>
      </c>
      <c r="Z88" s="2">
        <f t="shared" si="33"/>
        <v>-0.91886150637205</v>
      </c>
      <c r="AA88" s="2">
        <f t="shared" si="34"/>
        <v>-0.976458784148552</v>
      </c>
      <c r="AB88" s="2">
        <f t="shared" si="35"/>
        <v>0.82091599181789</v>
      </c>
      <c r="AC88" s="2">
        <f t="shared" si="36"/>
        <v>0.835581418496639</v>
      </c>
      <c r="AD88" s="2">
        <f t="shared" si="37"/>
        <v>1431.55</v>
      </c>
      <c r="AE88" s="2">
        <f t="shared" si="38"/>
        <v>0</v>
      </c>
    </row>
    <row r="89" spans="1:31">
      <c r="A89" s="2">
        <v>24750</v>
      </c>
      <c r="B89" s="2">
        <v>11.05</v>
      </c>
      <c r="C89" s="4">
        <v>0.3</v>
      </c>
      <c r="D89" s="2">
        <f t="shared" si="13"/>
        <v>0.161113585817614</v>
      </c>
      <c r="E89" s="2">
        <f t="shared" si="14"/>
        <v>0.123642963716892</v>
      </c>
      <c r="F89" s="2">
        <f t="shared" si="15"/>
        <v>0.1115585710639</v>
      </c>
      <c r="G89" s="2">
        <f t="shared" si="16"/>
        <v>0.109555982124934</v>
      </c>
      <c r="H89" s="2">
        <f t="shared" si="17"/>
        <v>0.109497241285802</v>
      </c>
      <c r="I89" s="2">
        <f t="shared" si="18"/>
        <v>0.109497190758287</v>
      </c>
      <c r="J89" s="2">
        <f t="shared" si="19"/>
        <v>0.109497190758251</v>
      </c>
      <c r="K89" s="2">
        <f t="shared" si="20"/>
        <v>-1.77497280823187</v>
      </c>
      <c r="L89" s="2">
        <f t="shared" si="21"/>
        <v>-1.80658192451177</v>
      </c>
      <c r="M89" s="2">
        <f t="shared" si="22"/>
        <v>0.0379511885529727</v>
      </c>
      <c r="N89" s="2">
        <f t="shared" si="23"/>
        <v>0.0354137449607958</v>
      </c>
      <c r="O89" s="2">
        <f t="shared" si="24"/>
        <v>11.0500000000001</v>
      </c>
      <c r="P89" s="2">
        <f t="shared" si="25"/>
        <v>6.75015598972095e-14</v>
      </c>
      <c r="Q89" s="2">
        <v>1550</v>
      </c>
      <c r="R89" s="4">
        <v>0.3</v>
      </c>
      <c r="S89" s="2">
        <f t="shared" si="26"/>
        <v>0.243971267410108</v>
      </c>
      <c r="T89" s="2">
        <f t="shared" si="27"/>
        <v>0.24101888692057</v>
      </c>
      <c r="U89" s="2">
        <f t="shared" si="28"/>
        <v>0.241007166065647</v>
      </c>
      <c r="V89" s="2">
        <f t="shared" si="29"/>
        <v>0.241007165877341</v>
      </c>
      <c r="W89" s="2">
        <f t="shared" si="30"/>
        <v>0.241007165877341</v>
      </c>
      <c r="X89" s="2">
        <f t="shared" si="31"/>
        <v>0.241007165877341</v>
      </c>
      <c r="Y89" s="2">
        <f t="shared" si="32"/>
        <v>0.241007165877341</v>
      </c>
      <c r="Z89" s="2">
        <f t="shared" si="33"/>
        <v>-0.778820502780957</v>
      </c>
      <c r="AA89" s="2">
        <f t="shared" si="34"/>
        <v>-0.848393278828913</v>
      </c>
      <c r="AB89" s="2">
        <f t="shared" si="35"/>
        <v>0.781957270799582</v>
      </c>
      <c r="AC89" s="2">
        <f t="shared" si="36"/>
        <v>0.801890507735101</v>
      </c>
      <c r="AD89" s="2">
        <f t="shared" si="37"/>
        <v>1550</v>
      </c>
      <c r="AE89" s="2">
        <f t="shared" si="38"/>
        <v>0</v>
      </c>
    </row>
    <row r="90" spans="1:31">
      <c r="A90" s="2">
        <v>24800</v>
      </c>
      <c r="B90" s="2">
        <v>9</v>
      </c>
      <c r="C90" s="4">
        <v>0.3</v>
      </c>
      <c r="D90" s="2">
        <f t="shared" si="13"/>
        <v>0.163580273048303</v>
      </c>
      <c r="E90" s="2">
        <f t="shared" si="14"/>
        <v>0.124996636368745</v>
      </c>
      <c r="F90" s="2">
        <f t="shared" si="15"/>
        <v>0.111499213945107</v>
      </c>
      <c r="G90" s="2">
        <f t="shared" si="16"/>
        <v>0.108779597011017</v>
      </c>
      <c r="H90" s="2">
        <f t="shared" si="17"/>
        <v>0.108660294545876</v>
      </c>
      <c r="I90" s="2">
        <f t="shared" si="18"/>
        <v>0.108660065723092</v>
      </c>
      <c r="J90" s="2">
        <f t="shared" si="19"/>
        <v>0.10866006572225</v>
      </c>
      <c r="K90" s="2">
        <f t="shared" si="20"/>
        <v>-1.85322933666915</v>
      </c>
      <c r="L90" s="2">
        <f t="shared" si="21"/>
        <v>-1.8845967957666</v>
      </c>
      <c r="M90" s="2">
        <f t="shared" si="22"/>
        <v>0.0319247472463201</v>
      </c>
      <c r="N90" s="2">
        <f t="shared" si="23"/>
        <v>0.0297421476256247</v>
      </c>
      <c r="O90" s="2">
        <f t="shared" si="24"/>
        <v>9.00000000000011</v>
      </c>
      <c r="P90" s="2">
        <f t="shared" si="25"/>
        <v>1.13686837721616e-13</v>
      </c>
      <c r="Q90" s="2">
        <v>1529.95</v>
      </c>
      <c r="R90" s="4">
        <v>0.3</v>
      </c>
      <c r="S90" s="2">
        <f t="shared" si="26"/>
        <v>0.216744679501475</v>
      </c>
      <c r="T90" s="2">
        <f t="shared" si="27"/>
        <v>0.208285851958741</v>
      </c>
      <c r="U90" s="2">
        <f t="shared" si="28"/>
        <v>0.208131510965597</v>
      </c>
      <c r="V90" s="2">
        <f t="shared" si="29"/>
        <v>0.208131456592429</v>
      </c>
      <c r="W90" s="2">
        <f t="shared" si="30"/>
        <v>0.208131456592422</v>
      </c>
      <c r="X90" s="2">
        <f t="shared" si="31"/>
        <v>0.208131456592422</v>
      </c>
      <c r="Y90" s="2">
        <f t="shared" si="32"/>
        <v>0.208131456592422</v>
      </c>
      <c r="Z90" s="2">
        <f t="shared" si="33"/>
        <v>-0.945670123993385</v>
      </c>
      <c r="AA90" s="2">
        <f t="shared" si="34"/>
        <v>-1.00575250023862</v>
      </c>
      <c r="AB90" s="2">
        <f t="shared" si="35"/>
        <v>0.827841567370053</v>
      </c>
      <c r="AC90" s="2">
        <f t="shared" si="36"/>
        <v>0.842732679183176</v>
      </c>
      <c r="AD90" s="2">
        <f t="shared" si="37"/>
        <v>1529.95</v>
      </c>
      <c r="AE90" s="2">
        <f t="shared" si="38"/>
        <v>0</v>
      </c>
    </row>
    <row r="91" spans="1:31">
      <c r="A91" s="2">
        <v>24850</v>
      </c>
      <c r="B91" s="2">
        <v>8.2</v>
      </c>
      <c r="C91" s="4">
        <v>0.3</v>
      </c>
      <c r="D91" s="2">
        <f t="shared" si="13"/>
        <v>0.166493920260853</v>
      </c>
      <c r="E91" s="2">
        <f t="shared" si="14"/>
        <v>0.127407222999374</v>
      </c>
      <c r="F91" s="2">
        <f t="shared" si="15"/>
        <v>0.113230979146067</v>
      </c>
      <c r="G91" s="2">
        <f t="shared" si="16"/>
        <v>0.110140024260193</v>
      </c>
      <c r="H91" s="2">
        <f t="shared" si="17"/>
        <v>0.109980630631266</v>
      </c>
      <c r="I91" s="2">
        <f t="shared" si="18"/>
        <v>0.109980209068789</v>
      </c>
      <c r="J91" s="2">
        <f t="shared" si="19"/>
        <v>0.109980209065842</v>
      </c>
      <c r="K91" s="2">
        <f t="shared" si="20"/>
        <v>-1.89404445659844</v>
      </c>
      <c r="L91" s="2">
        <f t="shared" si="21"/>
        <v>-1.92579300825329</v>
      </c>
      <c r="M91" s="2">
        <f t="shared" si="22"/>
        <v>0.0291095546115419</v>
      </c>
      <c r="N91" s="2">
        <f t="shared" si="23"/>
        <v>0.0270651124176525</v>
      </c>
      <c r="O91" s="2">
        <f t="shared" si="24"/>
        <v>8.20000000000039</v>
      </c>
      <c r="P91" s="2">
        <f t="shared" si="25"/>
        <v>3.87245790989255e-13</v>
      </c>
      <c r="Q91" s="2">
        <v>1650</v>
      </c>
      <c r="R91" s="4">
        <v>0.3</v>
      </c>
      <c r="S91" s="2">
        <f t="shared" si="26"/>
        <v>0.25340259220526</v>
      </c>
      <c r="T91" s="2">
        <f t="shared" si="27"/>
        <v>0.251163346099241</v>
      </c>
      <c r="U91" s="2">
        <f t="shared" si="28"/>
        <v>0.251156472275853</v>
      </c>
      <c r="V91" s="2">
        <f t="shared" si="29"/>
        <v>0.251156472210185</v>
      </c>
      <c r="W91" s="2">
        <f t="shared" si="30"/>
        <v>0.251156472210185</v>
      </c>
      <c r="X91" s="2">
        <f t="shared" si="31"/>
        <v>0.251156472210185</v>
      </c>
      <c r="Y91" s="2">
        <f t="shared" si="32"/>
        <v>0.251156472210185</v>
      </c>
      <c r="Z91" s="2">
        <f t="shared" si="33"/>
        <v>-0.800092896403151</v>
      </c>
      <c r="AA91" s="2">
        <f t="shared" si="34"/>
        <v>-0.872595524822785</v>
      </c>
      <c r="AB91" s="2">
        <f t="shared" si="35"/>
        <v>0.788171511719879</v>
      </c>
      <c r="AC91" s="2">
        <f t="shared" si="36"/>
        <v>0.808558209667807</v>
      </c>
      <c r="AD91" s="2">
        <f t="shared" si="37"/>
        <v>1650</v>
      </c>
      <c r="AE91" s="2">
        <f t="shared" si="38"/>
        <v>0</v>
      </c>
    </row>
    <row r="92" spans="1:31">
      <c r="A92" s="2">
        <v>24900</v>
      </c>
      <c r="B92" s="2">
        <v>7.15</v>
      </c>
      <c r="C92" s="4">
        <v>0.3</v>
      </c>
      <c r="D92" s="2">
        <f t="shared" si="13"/>
        <v>0.16917835048528</v>
      </c>
      <c r="E92" s="2">
        <f t="shared" si="14"/>
        <v>0.129472826619802</v>
      </c>
      <c r="F92" s="2">
        <f t="shared" si="15"/>
        <v>0.114389214970952</v>
      </c>
      <c r="G92" s="2">
        <f t="shared" si="16"/>
        <v>0.11072427832626</v>
      </c>
      <c r="H92" s="2">
        <f t="shared" si="17"/>
        <v>0.110487456374212</v>
      </c>
      <c r="I92" s="2">
        <f t="shared" si="18"/>
        <v>0.110486476074455</v>
      </c>
      <c r="J92" s="2">
        <f t="shared" si="19"/>
        <v>0.110486476057679</v>
      </c>
      <c r="K92" s="2">
        <f t="shared" si="20"/>
        <v>-1.94824129997808</v>
      </c>
      <c r="L92" s="2">
        <f t="shared" si="21"/>
        <v>-1.98013599832494</v>
      </c>
      <c r="M92" s="2">
        <f t="shared" si="22"/>
        <v>0.0256930486037254</v>
      </c>
      <c r="N92" s="2">
        <f t="shared" si="23"/>
        <v>0.0238441245569973</v>
      </c>
      <c r="O92" s="2">
        <f t="shared" si="24"/>
        <v>7.14999999999975</v>
      </c>
      <c r="P92" s="2">
        <f t="shared" si="25"/>
        <v>-2.50466314355435e-13</v>
      </c>
      <c r="Q92" s="2">
        <v>1624.65</v>
      </c>
      <c r="R92" s="4">
        <v>0.3</v>
      </c>
      <c r="S92" s="2">
        <f t="shared" si="26"/>
        <v>0.222621659382146</v>
      </c>
      <c r="T92" s="2">
        <f t="shared" si="27"/>
        <v>0.214478058272147</v>
      </c>
      <c r="U92" s="2">
        <f t="shared" si="28"/>
        <v>0.21432763308</v>
      </c>
      <c r="V92" s="2">
        <f t="shared" si="29"/>
        <v>0.214327579060137</v>
      </c>
      <c r="W92" s="2">
        <f t="shared" si="30"/>
        <v>0.214327579060128</v>
      </c>
      <c r="X92" s="2">
        <f t="shared" si="31"/>
        <v>0.214327579060127</v>
      </c>
      <c r="Y92" s="2">
        <f t="shared" si="32"/>
        <v>0.214327579060128</v>
      </c>
      <c r="Z92" s="2">
        <f t="shared" si="33"/>
        <v>-0.981609308883307</v>
      </c>
      <c r="AA92" s="2">
        <f t="shared" si="34"/>
        <v>-1.04348035161587</v>
      </c>
      <c r="AB92" s="2">
        <f t="shared" si="35"/>
        <v>0.836853820160493</v>
      </c>
      <c r="AC92" s="2">
        <f t="shared" si="36"/>
        <v>0.851637061896209</v>
      </c>
      <c r="AD92" s="2">
        <f t="shared" si="37"/>
        <v>1624.65</v>
      </c>
      <c r="AE92" s="2">
        <f t="shared" si="38"/>
        <v>0</v>
      </c>
    </row>
    <row r="93" spans="1:31">
      <c r="A93" s="2">
        <v>24950</v>
      </c>
      <c r="B93" s="2">
        <v>6.55</v>
      </c>
      <c r="C93" s="4">
        <v>0.3</v>
      </c>
      <c r="D93" s="2">
        <f t="shared" si="13"/>
        <v>0.171965794515556</v>
      </c>
      <c r="E93" s="2">
        <f t="shared" si="14"/>
        <v>0.131894379639765</v>
      </c>
      <c r="F93" s="2">
        <f t="shared" si="15"/>
        <v>0.11622020747858</v>
      </c>
      <c r="G93" s="2">
        <f t="shared" si="16"/>
        <v>0.112165343591225</v>
      </c>
      <c r="H93" s="2">
        <f t="shared" si="17"/>
        <v>0.111866944105473</v>
      </c>
      <c r="I93" s="2">
        <f t="shared" si="18"/>
        <v>0.111865346146539</v>
      </c>
      <c r="J93" s="2">
        <f t="shared" si="19"/>
        <v>0.111865346100794</v>
      </c>
      <c r="K93" s="2">
        <f t="shared" si="20"/>
        <v>-1.98595117370468</v>
      </c>
      <c r="L93" s="2">
        <f t="shared" si="21"/>
        <v>-2.01824391754682</v>
      </c>
      <c r="M93" s="2">
        <f t="shared" si="22"/>
        <v>0.0235193728567734</v>
      </c>
      <c r="N93" s="2">
        <f t="shared" si="23"/>
        <v>0.021782932166466</v>
      </c>
      <c r="O93" s="2">
        <f t="shared" si="24"/>
        <v>6.55000000000018</v>
      </c>
      <c r="P93" s="2">
        <f t="shared" si="25"/>
        <v>1.82076576038526e-13</v>
      </c>
      <c r="Q93" s="2">
        <v>1755.8</v>
      </c>
      <c r="R93" s="4">
        <v>0.3</v>
      </c>
      <c r="S93" s="2">
        <f t="shared" si="26"/>
        <v>0.265478343253435</v>
      </c>
      <c r="T93" s="2">
        <f t="shared" si="27"/>
        <v>0.264164033553218</v>
      </c>
      <c r="U93" s="2">
        <f t="shared" si="28"/>
        <v>0.264161705833764</v>
      </c>
      <c r="V93" s="2">
        <f t="shared" si="29"/>
        <v>0.264161705826404</v>
      </c>
      <c r="W93" s="2">
        <f t="shared" si="30"/>
        <v>0.264161705826404</v>
      </c>
      <c r="X93" s="2">
        <f t="shared" si="31"/>
        <v>0.264161705826404</v>
      </c>
      <c r="Y93" s="2">
        <f t="shared" si="32"/>
        <v>0.264161705826404</v>
      </c>
      <c r="Z93" s="2">
        <f t="shared" si="33"/>
        <v>-0.809705766004589</v>
      </c>
      <c r="AA93" s="2">
        <f t="shared" si="34"/>
        <v>-0.885962681988821</v>
      </c>
      <c r="AB93" s="2">
        <f t="shared" si="35"/>
        <v>0.790945348354277</v>
      </c>
      <c r="AC93" s="2">
        <f t="shared" si="36"/>
        <v>0.812181181537722</v>
      </c>
      <c r="AD93" s="2">
        <f t="shared" si="37"/>
        <v>1755.8</v>
      </c>
      <c r="AE93" s="2">
        <f t="shared" si="38"/>
        <v>0</v>
      </c>
    </row>
    <row r="94" spans="1:31">
      <c r="A94" s="2">
        <v>25000</v>
      </c>
      <c r="B94" s="2">
        <v>6.65</v>
      </c>
      <c r="C94" s="4">
        <v>0.3</v>
      </c>
      <c r="D94" s="2">
        <f t="shared" si="13"/>
        <v>0.174991325628679</v>
      </c>
      <c r="E94" s="2">
        <f t="shared" si="14"/>
        <v>0.134973017301271</v>
      </c>
      <c r="F94" s="2">
        <f t="shared" si="15"/>
        <v>0.119306890102972</v>
      </c>
      <c r="G94" s="2">
        <f t="shared" si="16"/>
        <v>0.115318012883843</v>
      </c>
      <c r="H94" s="2">
        <f t="shared" si="17"/>
        <v>0.115035663725521</v>
      </c>
      <c r="I94" s="2">
        <f t="shared" si="18"/>
        <v>0.115034265457756</v>
      </c>
      <c r="J94" s="2">
        <f t="shared" si="19"/>
        <v>0.115034265423518</v>
      </c>
      <c r="K94" s="2">
        <f t="shared" si="20"/>
        <v>-1.99062838088033</v>
      </c>
      <c r="L94" s="2">
        <f t="shared" si="21"/>
        <v>-2.02383591293448</v>
      </c>
      <c r="M94" s="2">
        <f t="shared" si="22"/>
        <v>0.0232608788541616</v>
      </c>
      <c r="N94" s="2">
        <f t="shared" si="23"/>
        <v>0.0214935188649818</v>
      </c>
      <c r="O94" s="2">
        <f t="shared" si="24"/>
        <v>6.64999999999907</v>
      </c>
      <c r="P94" s="2">
        <f t="shared" si="25"/>
        <v>-9.32587340685131e-13</v>
      </c>
      <c r="Q94" s="2">
        <v>1720.05</v>
      </c>
      <c r="R94" s="4">
        <v>0.3</v>
      </c>
      <c r="S94" s="2">
        <f t="shared" si="26"/>
        <v>0.228472646482675</v>
      </c>
      <c r="T94" s="2">
        <f t="shared" si="27"/>
        <v>0.220793213646352</v>
      </c>
      <c r="U94" s="2">
        <f t="shared" si="28"/>
        <v>0.220653610302044</v>
      </c>
      <c r="V94" s="2">
        <f t="shared" si="29"/>
        <v>0.220653562026642</v>
      </c>
      <c r="W94" s="2">
        <f t="shared" si="30"/>
        <v>0.220653562026636</v>
      </c>
      <c r="X94" s="2">
        <f t="shared" si="31"/>
        <v>0.220653562026636</v>
      </c>
      <c r="Y94" s="2">
        <f t="shared" si="32"/>
        <v>0.220653562026636</v>
      </c>
      <c r="Z94" s="2">
        <f t="shared" si="33"/>
        <v>-1.01459032351173</v>
      </c>
      <c r="AA94" s="2">
        <f t="shared" si="34"/>
        <v>-1.07828752022859</v>
      </c>
      <c r="AB94" s="2">
        <f t="shared" si="35"/>
        <v>0.844849423064423</v>
      </c>
      <c r="AC94" s="2">
        <f t="shared" si="36"/>
        <v>0.859547267674329</v>
      </c>
      <c r="AD94" s="2">
        <f t="shared" si="37"/>
        <v>1720.05</v>
      </c>
      <c r="AE94" s="2">
        <f t="shared" si="38"/>
        <v>0</v>
      </c>
    </row>
    <row r="95" spans="1:31">
      <c r="A95" s="2">
        <v>25050</v>
      </c>
      <c r="B95" s="2">
        <v>6.85</v>
      </c>
      <c r="C95" s="4">
        <v>0.3</v>
      </c>
      <c r="D95" s="2">
        <f t="shared" si="13"/>
        <v>0.177978993184203</v>
      </c>
      <c r="E95" s="2">
        <f t="shared" si="14"/>
        <v>0.138112652717065</v>
      </c>
      <c r="F95" s="2">
        <f t="shared" si="15"/>
        <v>0.12256834921537</v>
      </c>
      <c r="G95" s="2">
        <f t="shared" si="16"/>
        <v>0.118721912097835</v>
      </c>
      <c r="H95" s="2">
        <f t="shared" si="17"/>
        <v>0.118466947800465</v>
      </c>
      <c r="I95" s="2">
        <f t="shared" si="18"/>
        <v>0.118465840550209</v>
      </c>
      <c r="J95" s="2">
        <f t="shared" si="19"/>
        <v>0.118465840529356</v>
      </c>
      <c r="K95" s="2">
        <f t="shared" si="20"/>
        <v>-1.99041430766561</v>
      </c>
      <c r="L95" s="2">
        <f t="shared" si="21"/>
        <v>-2.02461245012531</v>
      </c>
      <c r="M95" s="2">
        <f t="shared" si="22"/>
        <v>0.0232726575438815</v>
      </c>
      <c r="N95" s="2">
        <f t="shared" si="23"/>
        <v>0.0214535874118265</v>
      </c>
      <c r="O95" s="2">
        <f t="shared" si="24"/>
        <v>6.85000000000014</v>
      </c>
      <c r="P95" s="2">
        <f t="shared" si="25"/>
        <v>1.36779476633819e-13</v>
      </c>
      <c r="Q95" s="2">
        <v>1161.25</v>
      </c>
      <c r="R95" s="4">
        <v>0.3</v>
      </c>
      <c r="S95" s="2">
        <f t="shared" si="26"/>
        <v>0.0001</v>
      </c>
      <c r="T95" s="2">
        <f t="shared" si="27"/>
        <v>0.0001</v>
      </c>
      <c r="U95" s="2">
        <f t="shared" si="28"/>
        <v>0.0001</v>
      </c>
      <c r="V95" s="2">
        <f t="shared" si="29"/>
        <v>0.0001</v>
      </c>
      <c r="W95" s="2">
        <f t="shared" si="30"/>
        <v>0.0001</v>
      </c>
      <c r="X95" s="2">
        <f t="shared" si="31"/>
        <v>0.0001</v>
      </c>
      <c r="Y95" s="2">
        <f t="shared" si="32"/>
        <v>0.0001</v>
      </c>
      <c r="Z95" s="2">
        <f t="shared" si="33"/>
        <v>-2378.21758361403</v>
      </c>
      <c r="AA95" s="2">
        <f t="shared" si="34"/>
        <v>-2378.21761248155</v>
      </c>
      <c r="AB95" s="2">
        <f t="shared" si="35"/>
        <v>1</v>
      </c>
      <c r="AC95" s="2">
        <f t="shared" si="36"/>
        <v>1</v>
      </c>
      <c r="AD95" s="2">
        <f t="shared" si="37"/>
        <v>1653.07932435855</v>
      </c>
      <c r="AE95" s="2">
        <f t="shared" si="38"/>
        <v>491.829324358554</v>
      </c>
    </row>
    <row r="96" spans="1:31">
      <c r="A96" s="2">
        <v>25100</v>
      </c>
      <c r="B96" s="2">
        <v>6.8</v>
      </c>
      <c r="C96" s="4">
        <v>0.3</v>
      </c>
      <c r="D96" s="2">
        <f t="shared" si="13"/>
        <v>0.180759095272296</v>
      </c>
      <c r="E96" s="2">
        <f t="shared" si="14"/>
        <v>0.140936099969342</v>
      </c>
      <c r="F96" s="2">
        <f t="shared" si="15"/>
        <v>0.125320319197978</v>
      </c>
      <c r="G96" s="2">
        <f t="shared" si="16"/>
        <v>0.121461665857728</v>
      </c>
      <c r="H96" s="2">
        <f t="shared" si="17"/>
        <v>0.121207775558235</v>
      </c>
      <c r="I96" s="2">
        <f t="shared" si="18"/>
        <v>0.121206689987302</v>
      </c>
      <c r="J96" s="2">
        <f t="shared" si="19"/>
        <v>0.121206689967485</v>
      </c>
      <c r="K96" s="2">
        <f t="shared" si="20"/>
        <v>-2.00161204666797</v>
      </c>
      <c r="L96" s="2">
        <f t="shared" si="21"/>
        <v>-2.03660140420813</v>
      </c>
      <c r="M96" s="2">
        <f t="shared" si="22"/>
        <v>0.022663236183477</v>
      </c>
      <c r="N96" s="2">
        <f t="shared" si="23"/>
        <v>0.0208450009833105</v>
      </c>
      <c r="O96" s="2">
        <f t="shared" si="24"/>
        <v>6.79999999999995</v>
      </c>
      <c r="P96" s="2">
        <f t="shared" si="25"/>
        <v>-4.52970994047064e-14</v>
      </c>
      <c r="Q96" s="2">
        <v>1820</v>
      </c>
      <c r="R96" s="4">
        <v>0.3</v>
      </c>
      <c r="S96" s="2">
        <f t="shared" si="26"/>
        <v>0.236291346625077</v>
      </c>
      <c r="T96" s="2">
        <f t="shared" si="27"/>
        <v>0.229726538062725</v>
      </c>
      <c r="U96" s="2">
        <f t="shared" si="28"/>
        <v>0.229623911138896</v>
      </c>
      <c r="V96" s="2">
        <f t="shared" si="29"/>
        <v>0.22962388512826</v>
      </c>
      <c r="W96" s="2">
        <f t="shared" si="30"/>
        <v>0.229623885128256</v>
      </c>
      <c r="X96" s="2">
        <f t="shared" si="31"/>
        <v>0.229623885128258</v>
      </c>
      <c r="Y96" s="2">
        <f t="shared" si="32"/>
        <v>0.229623885128258</v>
      </c>
      <c r="Z96" s="2">
        <f t="shared" si="33"/>
        <v>-1.03263968934764</v>
      </c>
      <c r="AA96" s="2">
        <f t="shared" si="34"/>
        <v>-1.09892639529323</v>
      </c>
      <c r="AB96" s="2">
        <f t="shared" si="35"/>
        <v>0.849113726408544</v>
      </c>
      <c r="AC96" s="2">
        <f t="shared" si="36"/>
        <v>0.864099913815289</v>
      </c>
      <c r="AD96" s="2">
        <f t="shared" si="37"/>
        <v>1820</v>
      </c>
      <c r="AE96" s="2">
        <f t="shared" si="38"/>
        <v>0</v>
      </c>
    </row>
    <row r="97" spans="1:31">
      <c r="A97" s="2">
        <v>25150</v>
      </c>
      <c r="B97" s="2">
        <v>5.35</v>
      </c>
      <c r="C97" s="4">
        <v>0.3</v>
      </c>
      <c r="D97" s="2">
        <f t="shared" si="13"/>
        <v>0.182739465791656</v>
      </c>
      <c r="E97" s="2">
        <f t="shared" si="14"/>
        <v>0.142115212010243</v>
      </c>
      <c r="F97" s="2">
        <f t="shared" si="15"/>
        <v>0.125101617604706</v>
      </c>
      <c r="G97" s="2">
        <f t="shared" si="16"/>
        <v>0.120138338110997</v>
      </c>
      <c r="H97" s="2">
        <f t="shared" si="17"/>
        <v>0.119673021469555</v>
      </c>
      <c r="I97" s="2">
        <f t="shared" si="18"/>
        <v>0.119669007886959</v>
      </c>
      <c r="J97" s="2">
        <f t="shared" si="19"/>
        <v>0.119669007589399</v>
      </c>
      <c r="K97" s="2">
        <f t="shared" si="20"/>
        <v>-2.08538512913554</v>
      </c>
      <c r="L97" s="2">
        <f t="shared" si="21"/>
        <v>-2.11993059600824</v>
      </c>
      <c r="M97" s="2">
        <f t="shared" si="22"/>
        <v>0.0185171778025028</v>
      </c>
      <c r="N97" s="2">
        <f t="shared" si="23"/>
        <v>0.0170059493590782</v>
      </c>
      <c r="O97" s="2">
        <f t="shared" si="24"/>
        <v>5.35000000000008</v>
      </c>
      <c r="P97" s="2">
        <f t="shared" si="25"/>
        <v>7.99360577730113e-14</v>
      </c>
      <c r="Q97" s="2">
        <v>1554.2</v>
      </c>
      <c r="R97" s="4">
        <v>0.3</v>
      </c>
      <c r="S97" s="2">
        <f t="shared" si="26"/>
        <v>0.0784107305306775</v>
      </c>
      <c r="T97" s="2">
        <f t="shared" si="27"/>
        <v>0.0001</v>
      </c>
      <c r="U97" s="2">
        <f t="shared" si="28"/>
        <v>0.0001</v>
      </c>
      <c r="V97" s="2">
        <f t="shared" si="29"/>
        <v>0.0001</v>
      </c>
      <c r="W97" s="2">
        <f t="shared" si="30"/>
        <v>0.0001</v>
      </c>
      <c r="X97" s="2">
        <f t="shared" si="31"/>
        <v>0.0001</v>
      </c>
      <c r="Y97" s="2">
        <f t="shared" si="32"/>
        <v>0.0001</v>
      </c>
      <c r="Z97" s="2">
        <f t="shared" si="33"/>
        <v>-2516.2297827065</v>
      </c>
      <c r="AA97" s="2">
        <f t="shared" si="34"/>
        <v>-2516.22981157401</v>
      </c>
      <c r="AB97" s="2">
        <f t="shared" si="35"/>
        <v>1</v>
      </c>
      <c r="AC97" s="2">
        <f t="shared" si="36"/>
        <v>1</v>
      </c>
      <c r="AD97" s="2">
        <f t="shared" si="37"/>
        <v>1752.53912206059</v>
      </c>
      <c r="AE97" s="2">
        <f t="shared" si="38"/>
        <v>198.339122060585</v>
      </c>
    </row>
    <row r="98" spans="1:31">
      <c r="A98" s="2">
        <v>25200</v>
      </c>
      <c r="B98" s="2">
        <v>5.75</v>
      </c>
      <c r="C98" s="4">
        <v>0.3</v>
      </c>
      <c r="D98" s="2">
        <f t="shared" si="13"/>
        <v>0.185578919188005</v>
      </c>
      <c r="E98" s="2">
        <f t="shared" si="14"/>
        <v>0.145325595150512</v>
      </c>
      <c r="F98" s="2">
        <f t="shared" si="15"/>
        <v>0.128704553327483</v>
      </c>
      <c r="G98" s="2">
        <f t="shared" si="16"/>
        <v>0.124124090713866</v>
      </c>
      <c r="H98" s="2">
        <f t="shared" si="17"/>
        <v>0.123746513460672</v>
      </c>
      <c r="I98" s="2">
        <f t="shared" si="18"/>
        <v>0.123743993019586</v>
      </c>
      <c r="J98" s="2">
        <f t="shared" si="19"/>
        <v>0.123743992907574</v>
      </c>
      <c r="K98" s="2">
        <f t="shared" si="20"/>
        <v>-2.07115383095446</v>
      </c>
      <c r="L98" s="2">
        <f t="shared" si="21"/>
        <v>-2.10687564476236</v>
      </c>
      <c r="M98" s="2">
        <f t="shared" si="22"/>
        <v>0.0191722113001478</v>
      </c>
      <c r="N98" s="2">
        <f t="shared" si="23"/>
        <v>0.0175641801356456</v>
      </c>
      <c r="O98" s="2">
        <f t="shared" si="24"/>
        <v>5.74999999999989</v>
      </c>
      <c r="P98" s="2">
        <f t="shared" si="25"/>
        <v>-1.13686837721616e-13</v>
      </c>
      <c r="Q98" s="2">
        <v>1940</v>
      </c>
      <c r="R98" s="4">
        <v>0.3</v>
      </c>
      <c r="S98" s="2">
        <f t="shared" si="26"/>
        <v>0.254441638864179</v>
      </c>
      <c r="T98" s="2">
        <f t="shared" si="27"/>
        <v>0.251105163447994</v>
      </c>
      <c r="U98" s="2">
        <f t="shared" si="28"/>
        <v>0.251082101916736</v>
      </c>
      <c r="V98" s="2">
        <f t="shared" si="29"/>
        <v>0.251082100795648</v>
      </c>
      <c r="W98" s="2">
        <f t="shared" si="30"/>
        <v>0.251082100795648</v>
      </c>
      <c r="X98" s="2">
        <f t="shared" si="31"/>
        <v>0.251082100795648</v>
      </c>
      <c r="Y98" s="2">
        <f t="shared" si="32"/>
        <v>0.251082100795648</v>
      </c>
      <c r="Z98" s="2">
        <f t="shared" si="33"/>
        <v>-0.993315187541468</v>
      </c>
      <c r="AA98" s="2">
        <f t="shared" si="34"/>
        <v>-1.065796346783</v>
      </c>
      <c r="AB98" s="2">
        <f t="shared" si="35"/>
        <v>0.839721810756279</v>
      </c>
      <c r="AC98" s="2">
        <f t="shared" si="36"/>
        <v>0.856742143647991</v>
      </c>
      <c r="AD98" s="2">
        <f t="shared" si="37"/>
        <v>1940</v>
      </c>
      <c r="AE98" s="2">
        <f t="shared" si="38"/>
        <v>0</v>
      </c>
    </row>
    <row r="99" spans="1:31">
      <c r="A99" s="2">
        <v>25250</v>
      </c>
      <c r="B99" s="2">
        <v>8.3</v>
      </c>
      <c r="C99" s="4">
        <v>0.3</v>
      </c>
      <c r="D99" s="2">
        <f t="shared" si="13"/>
        <v>0.189493795263931</v>
      </c>
      <c r="E99" s="2">
        <f t="shared" si="14"/>
        <v>0.151049729897232</v>
      </c>
      <c r="F99" s="2">
        <f t="shared" si="15"/>
        <v>0.136829515506237</v>
      </c>
      <c r="G99" s="2">
        <f t="shared" si="16"/>
        <v>0.133957268620938</v>
      </c>
      <c r="H99" s="2">
        <f t="shared" si="17"/>
        <v>0.133834951860344</v>
      </c>
      <c r="I99" s="2">
        <f t="shared" si="18"/>
        <v>0.133834732003807</v>
      </c>
      <c r="J99" s="2">
        <f t="shared" si="19"/>
        <v>0.133834732003098</v>
      </c>
      <c r="K99" s="2">
        <f t="shared" si="20"/>
        <v>-1.96349701212646</v>
      </c>
      <c r="L99" s="2">
        <f t="shared" si="21"/>
        <v>-2.00213177140091</v>
      </c>
      <c r="M99" s="2">
        <f t="shared" si="22"/>
        <v>0.0247942256603599</v>
      </c>
      <c r="N99" s="2">
        <f t="shared" si="23"/>
        <v>0.0226352806476373</v>
      </c>
      <c r="O99" s="2">
        <f t="shared" si="24"/>
        <v>8.3000000000003</v>
      </c>
      <c r="P99" s="2">
        <f t="shared" si="25"/>
        <v>2.94875235340442e-13</v>
      </c>
      <c r="Q99" s="2">
        <v>1826.6</v>
      </c>
      <c r="R99" s="4">
        <v>0.3</v>
      </c>
      <c r="S99" s="2">
        <f t="shared" si="26"/>
        <v>0.171573823157287</v>
      </c>
      <c r="T99" s="2">
        <f t="shared" si="27"/>
        <v>0.103939110590325</v>
      </c>
      <c r="U99" s="2">
        <f t="shared" si="28"/>
        <v>0.0001</v>
      </c>
      <c r="V99" s="2">
        <f t="shared" si="29"/>
        <v>0.0001</v>
      </c>
      <c r="W99" s="2">
        <f t="shared" si="30"/>
        <v>0.0001</v>
      </c>
      <c r="X99" s="2">
        <f t="shared" si="31"/>
        <v>0.0001</v>
      </c>
      <c r="Y99" s="2">
        <f t="shared" si="32"/>
        <v>0.0001</v>
      </c>
      <c r="Z99" s="2">
        <f t="shared" si="33"/>
        <v>-2653.69431290203</v>
      </c>
      <c r="AA99" s="2">
        <f t="shared" si="34"/>
        <v>-2653.69434176954</v>
      </c>
      <c r="AB99" s="2">
        <f t="shared" si="35"/>
        <v>1</v>
      </c>
      <c r="AC99" s="2">
        <f t="shared" si="36"/>
        <v>1</v>
      </c>
      <c r="AD99" s="2">
        <f t="shared" si="37"/>
        <v>1851.99891976261</v>
      </c>
      <c r="AE99" s="2">
        <f t="shared" si="38"/>
        <v>25.3989197626129</v>
      </c>
    </row>
    <row r="100" spans="1:31">
      <c r="A100" s="2">
        <v>25300</v>
      </c>
      <c r="B100" s="2">
        <v>5</v>
      </c>
      <c r="C100" s="4">
        <v>0.3</v>
      </c>
      <c r="D100" s="2">
        <f t="shared" si="13"/>
        <v>0.190217326845815</v>
      </c>
      <c r="E100" s="2">
        <f t="shared" si="14"/>
        <v>0.149770280173895</v>
      </c>
      <c r="F100" s="2">
        <f t="shared" si="15"/>
        <v>0.132389739565805</v>
      </c>
      <c r="G100" s="2">
        <f t="shared" si="16"/>
        <v>0.12720763960064</v>
      </c>
      <c r="H100" s="2">
        <f t="shared" si="17"/>
        <v>0.126705213802932</v>
      </c>
      <c r="I100" s="2">
        <f t="shared" si="18"/>
        <v>0.12670059655997</v>
      </c>
      <c r="J100" s="2">
        <f t="shared" si="19"/>
        <v>0.126700596171612</v>
      </c>
      <c r="K100" s="2">
        <f t="shared" si="20"/>
        <v>-2.1302599073272</v>
      </c>
      <c r="L100" s="2">
        <f t="shared" si="21"/>
        <v>-2.16683521898028</v>
      </c>
      <c r="M100" s="2">
        <f t="shared" si="22"/>
        <v>0.0165750808005169</v>
      </c>
      <c r="N100" s="2">
        <f t="shared" si="23"/>
        <v>0.0151237104713982</v>
      </c>
      <c r="O100" s="2">
        <f t="shared" si="24"/>
        <v>5.00000000000023</v>
      </c>
      <c r="P100" s="2">
        <f t="shared" si="25"/>
        <v>2.27373675443232e-13</v>
      </c>
      <c r="Q100" s="2">
        <v>2130</v>
      </c>
      <c r="R100" s="4">
        <v>0.3</v>
      </c>
      <c r="S100" s="2">
        <f t="shared" si="26"/>
        <v>0.311280781558364</v>
      </c>
      <c r="T100" s="2">
        <f t="shared" si="27"/>
        <v>0.311116098829621</v>
      </c>
      <c r="U100" s="2">
        <f t="shared" si="28"/>
        <v>0.311116065574681</v>
      </c>
      <c r="V100" s="2">
        <f t="shared" si="29"/>
        <v>0.311116065574679</v>
      </c>
      <c r="W100" s="2">
        <f t="shared" si="30"/>
        <v>0.311116065574679</v>
      </c>
      <c r="X100" s="2">
        <f t="shared" si="31"/>
        <v>0.311116065574679</v>
      </c>
      <c r="Y100" s="2">
        <f t="shared" si="32"/>
        <v>0.311116065574679</v>
      </c>
      <c r="Z100" s="2">
        <f t="shared" si="33"/>
        <v>-0.830080442021926</v>
      </c>
      <c r="AA100" s="2">
        <f t="shared" si="34"/>
        <v>-0.919891914126305</v>
      </c>
      <c r="AB100" s="2">
        <f t="shared" si="35"/>
        <v>0.796753347928491</v>
      </c>
      <c r="AC100" s="2">
        <f t="shared" si="36"/>
        <v>0.821185377623335</v>
      </c>
      <c r="AD100" s="2">
        <f t="shared" si="37"/>
        <v>2130</v>
      </c>
      <c r="AE100" s="2">
        <f t="shared" si="38"/>
        <v>0</v>
      </c>
    </row>
    <row r="101" spans="1:31">
      <c r="A101" s="2">
        <v>25350</v>
      </c>
      <c r="B101" s="2">
        <v>6.3</v>
      </c>
      <c r="C101" s="4">
        <v>0.3</v>
      </c>
      <c r="D101" s="2">
        <f t="shared" si="13"/>
        <v>0.1933446927456</v>
      </c>
      <c r="E101" s="2">
        <f t="shared" si="14"/>
        <v>0.154001452937839</v>
      </c>
      <c r="F101" s="2">
        <f t="shared" si="15"/>
        <v>0.138061858999759</v>
      </c>
      <c r="G101" s="2">
        <f t="shared" si="16"/>
        <v>0.134083790201212</v>
      </c>
      <c r="H101" s="2">
        <f t="shared" si="17"/>
        <v>0.133821927940697</v>
      </c>
      <c r="I101" s="2">
        <f t="shared" si="18"/>
        <v>0.133820811961068</v>
      </c>
      <c r="J101" s="2">
        <f t="shared" si="19"/>
        <v>0.133820811940834</v>
      </c>
      <c r="K101" s="2">
        <f t="shared" si="20"/>
        <v>-2.0660220875864</v>
      </c>
      <c r="L101" s="2">
        <f t="shared" si="21"/>
        <v>-2.10465282848501</v>
      </c>
      <c r="M101" s="2">
        <f t="shared" si="22"/>
        <v>0.0194131970278253</v>
      </c>
      <c r="N101" s="2">
        <f t="shared" si="23"/>
        <v>0.0176607697214469</v>
      </c>
      <c r="O101" s="2">
        <f t="shared" si="24"/>
        <v>6.30000000000047</v>
      </c>
      <c r="P101" s="2">
        <f t="shared" si="25"/>
        <v>4.66293670342566e-13</v>
      </c>
      <c r="Q101" s="2">
        <v>1750</v>
      </c>
      <c r="R101" s="4">
        <v>0.3</v>
      </c>
      <c r="S101" s="2">
        <f t="shared" si="26"/>
        <v>0.0784214344931613</v>
      </c>
      <c r="T101" s="2">
        <f t="shared" si="27"/>
        <v>0.0001</v>
      </c>
      <c r="U101" s="2">
        <f t="shared" si="28"/>
        <v>0.0001</v>
      </c>
      <c r="V101" s="2">
        <f t="shared" si="29"/>
        <v>0.0001</v>
      </c>
      <c r="W101" s="2">
        <f t="shared" si="30"/>
        <v>0.0001</v>
      </c>
      <c r="X101" s="2">
        <f t="shared" si="31"/>
        <v>0.0001</v>
      </c>
      <c r="Y101" s="2">
        <f t="shared" si="32"/>
        <v>0.0001</v>
      </c>
      <c r="Z101" s="2">
        <f t="shared" si="33"/>
        <v>-2790.61550361598</v>
      </c>
      <c r="AA101" s="2">
        <f t="shared" si="34"/>
        <v>-2790.6155324835</v>
      </c>
      <c r="AB101" s="2">
        <f t="shared" si="35"/>
        <v>1</v>
      </c>
      <c r="AC101" s="2">
        <f t="shared" si="36"/>
        <v>1</v>
      </c>
      <c r="AD101" s="2">
        <f t="shared" si="37"/>
        <v>1951.45871746464</v>
      </c>
      <c r="AE101" s="2">
        <f t="shared" si="38"/>
        <v>201.458717464644</v>
      </c>
    </row>
    <row r="102" spans="1:31">
      <c r="A102" s="2">
        <v>25400</v>
      </c>
      <c r="B102" s="2">
        <v>4.5</v>
      </c>
      <c r="C102" s="4">
        <v>0.3</v>
      </c>
      <c r="D102" s="2">
        <f t="shared" si="13"/>
        <v>0.194684243169611</v>
      </c>
      <c r="E102" s="2">
        <f t="shared" si="14"/>
        <v>0.154265167279386</v>
      </c>
      <c r="F102" s="2">
        <f t="shared" si="15"/>
        <v>0.136385365592473</v>
      </c>
      <c r="G102" s="2">
        <f t="shared" si="16"/>
        <v>0.130782644526899</v>
      </c>
      <c r="H102" s="2">
        <f t="shared" si="17"/>
        <v>0.130182260647254</v>
      </c>
      <c r="I102" s="2">
        <f t="shared" si="18"/>
        <v>0.130175547315154</v>
      </c>
      <c r="J102" s="2">
        <f t="shared" si="19"/>
        <v>0.130175546480237</v>
      </c>
      <c r="K102" s="2">
        <f t="shared" si="20"/>
        <v>-2.17737878169104</v>
      </c>
      <c r="L102" s="2">
        <f t="shared" si="21"/>
        <v>-2.21495722509217</v>
      </c>
      <c r="M102" s="2">
        <f t="shared" si="22"/>
        <v>0.0147261587425658</v>
      </c>
      <c r="N102" s="2">
        <f t="shared" si="23"/>
        <v>0.0133815003300048</v>
      </c>
      <c r="O102" s="2">
        <f t="shared" si="24"/>
        <v>4.49999999999977</v>
      </c>
      <c r="P102" s="2">
        <f t="shared" si="25"/>
        <v>-2.27373675443232e-13</v>
      </c>
      <c r="Q102" s="2">
        <v>2125</v>
      </c>
      <c r="R102" s="4">
        <v>0.3</v>
      </c>
      <c r="S102" s="2">
        <f t="shared" si="26"/>
        <v>0.262044976934247</v>
      </c>
      <c r="T102" s="2">
        <f t="shared" si="27"/>
        <v>0.25930196759083</v>
      </c>
      <c r="U102" s="2">
        <f t="shared" si="28"/>
        <v>0.259284573201678</v>
      </c>
      <c r="V102" s="2">
        <f t="shared" si="29"/>
        <v>0.259284572493225</v>
      </c>
      <c r="W102" s="2">
        <f t="shared" si="30"/>
        <v>0.259284572493225</v>
      </c>
      <c r="X102" s="2">
        <f t="shared" si="31"/>
        <v>0.259284572493225</v>
      </c>
      <c r="Y102" s="2">
        <f t="shared" si="32"/>
        <v>0.259284572493225</v>
      </c>
      <c r="Z102" s="2">
        <f t="shared" si="33"/>
        <v>-1.06517626835997</v>
      </c>
      <c r="AA102" s="2">
        <f t="shared" si="34"/>
        <v>-1.14002527722281</v>
      </c>
      <c r="AB102" s="2">
        <f t="shared" si="35"/>
        <v>0.856601914635176</v>
      </c>
      <c r="AC102" s="2">
        <f t="shared" si="36"/>
        <v>0.872862114803759</v>
      </c>
      <c r="AD102" s="2">
        <f t="shared" si="37"/>
        <v>2125</v>
      </c>
      <c r="AE102" s="2">
        <f t="shared" si="38"/>
        <v>0</v>
      </c>
    </row>
    <row r="103" spans="1:31">
      <c r="A103" s="2">
        <v>25450</v>
      </c>
      <c r="B103" s="2">
        <v>4.5</v>
      </c>
      <c r="C103" s="4">
        <v>0.3</v>
      </c>
      <c r="D103" s="2">
        <f t="shared" si="13"/>
        <v>0.196954576928024</v>
      </c>
      <c r="E103" s="2">
        <f t="shared" si="14"/>
        <v>0.156758119581894</v>
      </c>
      <c r="F103" s="2">
        <f t="shared" si="15"/>
        <v>0.138939811514797</v>
      </c>
      <c r="G103" s="2">
        <f t="shared" si="16"/>
        <v>0.133411081752761</v>
      </c>
      <c r="H103" s="2">
        <f t="shared" si="17"/>
        <v>0.132834015945497</v>
      </c>
      <c r="I103" s="2">
        <f t="shared" si="18"/>
        <v>0.132827897871787</v>
      </c>
      <c r="J103" s="2">
        <f t="shared" si="19"/>
        <v>0.132827897187611</v>
      </c>
      <c r="K103" s="2">
        <f t="shared" si="20"/>
        <v>-2.18442952931072</v>
      </c>
      <c r="L103" s="2">
        <f t="shared" si="21"/>
        <v>-2.2227736404093</v>
      </c>
      <c r="M103" s="2">
        <f t="shared" si="22"/>
        <v>0.0144653501659391</v>
      </c>
      <c r="N103" s="2">
        <f t="shared" si="23"/>
        <v>0.0131155336921962</v>
      </c>
      <c r="O103" s="2">
        <f t="shared" si="24"/>
        <v>4.5</v>
      </c>
      <c r="P103" s="2">
        <f t="shared" si="25"/>
        <v>0</v>
      </c>
      <c r="Q103" s="2">
        <v>1850</v>
      </c>
      <c r="R103" s="4">
        <v>0.3</v>
      </c>
      <c r="S103" s="2">
        <f t="shared" si="26"/>
        <v>0.07852846401897</v>
      </c>
      <c r="T103" s="2">
        <f t="shared" si="27"/>
        <v>0.0001</v>
      </c>
      <c r="U103" s="2">
        <f t="shared" si="28"/>
        <v>0.0001</v>
      </c>
      <c r="V103" s="2">
        <f t="shared" si="29"/>
        <v>0.0001</v>
      </c>
      <c r="W103" s="2">
        <f t="shared" si="30"/>
        <v>0.0001</v>
      </c>
      <c r="X103" s="2">
        <f t="shared" si="31"/>
        <v>0.0001</v>
      </c>
      <c r="Y103" s="2">
        <f t="shared" si="32"/>
        <v>0.0001</v>
      </c>
      <c r="Z103" s="2">
        <f t="shared" si="33"/>
        <v>-2926.99763312865</v>
      </c>
      <c r="AA103" s="2">
        <f t="shared" si="34"/>
        <v>-2926.99766199616</v>
      </c>
      <c r="AB103" s="2">
        <f t="shared" si="35"/>
        <v>1</v>
      </c>
      <c r="AC103" s="2">
        <f t="shared" si="36"/>
        <v>1</v>
      </c>
      <c r="AD103" s="2">
        <f t="shared" si="37"/>
        <v>2050.91851516668</v>
      </c>
      <c r="AE103" s="2">
        <f t="shared" si="38"/>
        <v>200.918515166675</v>
      </c>
    </row>
    <row r="104" spans="1:31">
      <c r="A104" s="2">
        <v>25500</v>
      </c>
      <c r="B104" s="2">
        <v>3.4</v>
      </c>
      <c r="C104" s="4">
        <v>0.3</v>
      </c>
      <c r="D104" s="2">
        <f t="shared" si="13"/>
        <v>0.19851469451301</v>
      </c>
      <c r="E104" s="2">
        <f t="shared" si="14"/>
        <v>0.157688415926595</v>
      </c>
      <c r="F104" s="2">
        <f t="shared" si="15"/>
        <v>0.13849037357531</v>
      </c>
      <c r="G104" s="2">
        <f t="shared" si="16"/>
        <v>0.131543549729511</v>
      </c>
      <c r="H104" s="2">
        <f t="shared" si="17"/>
        <v>0.130524932202015</v>
      </c>
      <c r="I104" s="2">
        <f t="shared" si="18"/>
        <v>0.130503762783326</v>
      </c>
      <c r="J104" s="2">
        <f t="shared" si="19"/>
        <v>0.130503753738796</v>
      </c>
      <c r="K104" s="2">
        <f t="shared" si="20"/>
        <v>-2.27610726876422</v>
      </c>
      <c r="L104" s="2">
        <f t="shared" si="21"/>
        <v>-2.31378045743989</v>
      </c>
      <c r="M104" s="2">
        <f t="shared" si="22"/>
        <v>0.0114197950705163</v>
      </c>
      <c r="N104" s="2">
        <f t="shared" si="23"/>
        <v>0.0103398839381835</v>
      </c>
      <c r="O104" s="2">
        <f t="shared" si="24"/>
        <v>3.40000000000026</v>
      </c>
      <c r="P104" s="2">
        <f t="shared" si="25"/>
        <v>2.61568544601687e-13</v>
      </c>
      <c r="Q104" s="2">
        <v>2222.05</v>
      </c>
      <c r="R104" s="4">
        <v>0.3</v>
      </c>
      <c r="S104" s="2">
        <f t="shared" si="26"/>
        <v>0.268014590470609</v>
      </c>
      <c r="T104" s="2">
        <f t="shared" si="27"/>
        <v>0.2659458979117</v>
      </c>
      <c r="U104" s="2">
        <f t="shared" si="28"/>
        <v>0.265935797239154</v>
      </c>
      <c r="V104" s="2">
        <f t="shared" si="29"/>
        <v>0.265935796996153</v>
      </c>
      <c r="W104" s="2">
        <f t="shared" si="30"/>
        <v>0.265935796996153</v>
      </c>
      <c r="X104" s="2">
        <f t="shared" si="31"/>
        <v>0.265935796996153</v>
      </c>
      <c r="Y104" s="2">
        <f t="shared" si="32"/>
        <v>0.265935796996153</v>
      </c>
      <c r="Z104" s="2">
        <f t="shared" si="33"/>
        <v>-1.08782259669173</v>
      </c>
      <c r="AA104" s="2">
        <f t="shared" si="34"/>
        <v>-1.16459164868317</v>
      </c>
      <c r="AB104" s="2">
        <f t="shared" si="35"/>
        <v>0.861663284045001</v>
      </c>
      <c r="AC104" s="2">
        <f t="shared" si="36"/>
        <v>0.877907837060493</v>
      </c>
      <c r="AD104" s="2">
        <f t="shared" si="37"/>
        <v>2222.05</v>
      </c>
      <c r="AE104" s="2">
        <f t="shared" si="38"/>
        <v>0</v>
      </c>
    </row>
    <row r="105" spans="1:31">
      <c r="A105" s="2">
        <v>25550</v>
      </c>
      <c r="B105" s="2">
        <v>7</v>
      </c>
      <c r="C105" s="4">
        <v>0.3</v>
      </c>
      <c r="D105" s="2">
        <f t="shared" si="13"/>
        <v>0.202815639060242</v>
      </c>
      <c r="E105" s="2">
        <f t="shared" si="14"/>
        <v>0.165102022472923</v>
      </c>
      <c r="F105" s="2">
        <f t="shared" si="15"/>
        <v>0.150370664251352</v>
      </c>
      <c r="G105" s="2">
        <f t="shared" si="16"/>
        <v>0.147208325779835</v>
      </c>
      <c r="H105" s="2">
        <f t="shared" si="17"/>
        <v>0.147058641839244</v>
      </c>
      <c r="I105" s="2">
        <f t="shared" si="18"/>
        <v>0.147058311129823</v>
      </c>
      <c r="J105" s="2">
        <f t="shared" si="19"/>
        <v>0.14705831112821</v>
      </c>
      <c r="K105" s="2">
        <f t="shared" si="20"/>
        <v>-2.06151577987523</v>
      </c>
      <c r="L105" s="2">
        <f t="shared" si="21"/>
        <v>-2.10396785763345</v>
      </c>
      <c r="M105" s="2">
        <f t="shared" si="22"/>
        <v>0.0196269298042329</v>
      </c>
      <c r="N105" s="2">
        <f t="shared" si="23"/>
        <v>0.017690625452269</v>
      </c>
      <c r="O105" s="2">
        <f t="shared" si="24"/>
        <v>7.00000000000023</v>
      </c>
      <c r="P105" s="2">
        <f t="shared" si="25"/>
        <v>2.27373675443232e-13</v>
      </c>
      <c r="Q105" s="2">
        <v>2039.45</v>
      </c>
      <c r="R105" s="4">
        <v>0.3</v>
      </c>
      <c r="S105" s="2">
        <f t="shared" si="26"/>
        <v>0.131824027766038</v>
      </c>
      <c r="T105" s="2">
        <f t="shared" si="27"/>
        <v>0.0001</v>
      </c>
      <c r="U105" s="2">
        <f t="shared" si="28"/>
        <v>0.0001</v>
      </c>
      <c r="V105" s="2">
        <f t="shared" si="29"/>
        <v>0.0001</v>
      </c>
      <c r="W105" s="2">
        <f t="shared" si="30"/>
        <v>0.0001</v>
      </c>
      <c r="X105" s="2">
        <f t="shared" si="31"/>
        <v>0.0001</v>
      </c>
      <c r="Y105" s="2">
        <f t="shared" si="32"/>
        <v>0.0001</v>
      </c>
      <c r="Z105" s="2">
        <f t="shared" si="33"/>
        <v>-3062.84492938733</v>
      </c>
      <c r="AA105" s="2">
        <f t="shared" si="34"/>
        <v>-3062.84495825485</v>
      </c>
      <c r="AB105" s="2">
        <f t="shared" si="35"/>
        <v>1</v>
      </c>
      <c r="AC105" s="2">
        <f t="shared" si="36"/>
        <v>1</v>
      </c>
      <c r="AD105" s="2">
        <f t="shared" si="37"/>
        <v>2150.37831286871</v>
      </c>
      <c r="AE105" s="2">
        <f t="shared" si="38"/>
        <v>110.928312868706</v>
      </c>
    </row>
    <row r="106" spans="1:31">
      <c r="A106" s="2">
        <v>25600</v>
      </c>
      <c r="B106" s="2">
        <v>3.1</v>
      </c>
      <c r="C106" s="4">
        <v>0.3</v>
      </c>
      <c r="D106" s="2">
        <f t="shared" ref="D106:D138" si="39">IFERROR(MEDIAN(0.0001,5,C106-(($B$6*NORMSDIST((LN($B$6/A106)+($B$5+C106^2/2)*$B$4)/(C106*SQRT($B$4)))-A106*EXP(-$B$5*$B$4)*NORMSDIST(((LN($B$6/A106)+($B$5+C106^2/2)*$B$4)/(C106*SQRT($B$4))-C106*SQRT($B$4))))-B106)/($B$6*SQRT($B$4)*NORMDIST((LN($B$6/A106)+($B$5+C106^2/2)*$B$4)/(C106*SQRT($B$4)),0,1,FALSE()))),C106)</f>
        <v>0.202539420379573</v>
      </c>
      <c r="E106" s="2">
        <f t="shared" ref="E106:E138" si="40">IFERROR(MEDIAN(0.0001,5,D106-(($B$6*NORMSDIST((LN($B$6/A106)+($B$5+D106^2/2)*$B$4)/(D106*SQRT($B$4)))-A106*EXP(-$B$5*$B$4)*NORMSDIST(((LN($B$6/A106)+($B$5+D106^2/2)*$B$4)/(D106*SQRT($B$4))-D106*SQRT($B$4))))-B106)/($B$6*SQRT($B$4)*NORMDIST((LN($B$6/A106)+($B$5+D106^2/2)*$B$4)/(D106*SQRT($B$4)),0,1,FALSE()))),D106)</f>
        <v>0.161950594096783</v>
      </c>
      <c r="F106" s="2">
        <f t="shared" ref="F106:F138" si="41">IFERROR(MEDIAN(0.0001,5,E106-(($B$6*NORMSDIST((LN($B$6/A106)+($B$5+E106^2/2)*$B$4)/(E106*SQRT($B$4)))-A106*EXP(-$B$5*$B$4)*NORMSDIST(((LN($B$6/A106)+($B$5+E106^2/2)*$B$4)/(E106*SQRT($B$4))-E106*SQRT($B$4))))-B106)/($B$6*SQRT($B$4)*NORMDIST((LN($B$6/A106)+($B$5+E106^2/2)*$B$4)/(E106*SQRT($B$4)),0,1,FALSE()))),E106)</f>
        <v>0.142450488242834</v>
      </c>
      <c r="G106" s="2">
        <f t="shared" ref="G106:G138" si="42">IFERROR(MEDIAN(0.0001,5,F106-(($B$6*NORMSDIST((LN($B$6/A106)+($B$5+F106^2/2)*$B$4)/(F106*SQRT($B$4)))-A106*EXP(-$B$5*$B$4)*NORMSDIST(((LN($B$6/A106)+($B$5+F106^2/2)*$B$4)/(F106*SQRT($B$4))-F106*SQRT($B$4))))-B106)/($B$6*SQRT($B$4)*NORMDIST((LN($B$6/A106)+($B$5+F106^2/2)*$B$4)/(F106*SQRT($B$4)),0,1,FALSE()))),F106)</f>
        <v>0.135173090391202</v>
      </c>
      <c r="H106" s="2">
        <f t="shared" ref="H106:H138" si="43">IFERROR(MEDIAN(0.0001,5,G106-(($B$6*NORMSDIST((LN($B$6/A106)+($B$5+G106^2/2)*$B$4)/(G106*SQRT($B$4)))-A106*EXP(-$B$5*$B$4)*NORMSDIST(((LN($B$6/A106)+($B$5+G106^2/2)*$B$4)/(G106*SQRT($B$4))-G106*SQRT($B$4))))-B106)/($B$6*SQRT($B$4)*NORMDIST((LN($B$6/A106)+($B$5+G106^2/2)*$B$4)/(G106*SQRT($B$4)),0,1,FALSE()))),G106)</f>
        <v>0.134039213228939</v>
      </c>
      <c r="I106" s="2">
        <f t="shared" ref="I106:I138" si="44">IFERROR(MEDIAN(0.0001,5,H106-(($B$6*NORMSDIST((LN($B$6/A106)+($B$5+H106^2/2)*$B$4)/(H106*SQRT($B$4)))-A106*EXP(-$B$5*$B$4)*NORMSDIST(((LN($B$6/A106)+($B$5+H106^2/2)*$B$4)/(H106*SQRT($B$4))-H106*SQRT($B$4))))-B106)/($B$6*SQRT($B$4)*NORMDIST((LN($B$6/A106)+($B$5+H106^2/2)*$B$4)/(H106*SQRT($B$4)),0,1,FALSE()))),H106)</f>
        <v>0.134012695505342</v>
      </c>
      <c r="J106" s="2">
        <f t="shared" ref="J106:J138" si="45">IFERROR(MEDIAN(0.0001,5,I106-(($B$6*NORMSDIST((LN($B$6/A106)+($B$5+I106^2/2)*$B$4)/(I106*SQRT($B$4)))-A106*EXP(-$B$5*$B$4)*NORMSDIST(((LN($B$6/A106)+($B$5+I106^2/2)*$B$4)/(I106*SQRT($B$4))-I106*SQRT($B$4))))-B106)/($B$6*SQRT($B$4)*NORMDIST((LN($B$6/A106)+($B$5+I106^2/2)*$B$4)/(I106*SQRT($B$4)),0,1,FALSE()))),I106)</f>
        <v>0.13401268118471</v>
      </c>
      <c r="K106" s="2">
        <f t="shared" ref="K106:K138" si="46">(LN($B$6/A106)+($B$5+J106^2/2)*$B$4)/(J106*SQRT($B$4))</f>
        <v>-2.31668163825053</v>
      </c>
      <c r="L106" s="2">
        <f t="shared" ref="L106:L138" si="47">K106-J106*SQRT($B$4)</f>
        <v>-2.35536776702894</v>
      </c>
      <c r="M106" s="2">
        <f t="shared" ref="M106:M138" si="48">NORMSDIST(K106)</f>
        <v>0.01026054026564</v>
      </c>
      <c r="N106" s="2">
        <f t="shared" ref="N106:N138" si="49">NORMSDIST(L106)</f>
        <v>0.00925219083827136</v>
      </c>
      <c r="O106" s="2">
        <f t="shared" ref="O106:O138" si="50">$B$6*M106-A106*EXP(-$B$5*$B$4)*N106</f>
        <v>3.1000000000007</v>
      </c>
      <c r="P106" s="2">
        <f t="shared" ref="P106:P138" si="51">O106-B106</f>
        <v>7.04769576032049e-13</v>
      </c>
      <c r="Q106" s="2">
        <v>2320</v>
      </c>
      <c r="R106" s="4">
        <v>0.3</v>
      </c>
      <c r="S106" s="2">
        <f t="shared" si="26"/>
        <v>0.274434120820931</v>
      </c>
      <c r="T106" s="2">
        <f t="shared" si="27"/>
        <v>0.273043009395267</v>
      </c>
      <c r="U106" s="2">
        <f t="shared" si="28"/>
        <v>0.273038383064752</v>
      </c>
      <c r="V106" s="2">
        <f t="shared" si="29"/>
        <v>0.273038383013292</v>
      </c>
      <c r="W106" s="2">
        <f t="shared" si="30"/>
        <v>0.27303838301329</v>
      </c>
      <c r="X106" s="2">
        <f t="shared" si="31"/>
        <v>0.27303838301329</v>
      </c>
      <c r="Y106" s="2">
        <f t="shared" si="32"/>
        <v>0.27303838301329</v>
      </c>
      <c r="Z106" s="2">
        <f t="shared" si="33"/>
        <v>-1.1071577948567</v>
      </c>
      <c r="AA106" s="2">
        <f t="shared" si="34"/>
        <v>-1.18597718682262</v>
      </c>
      <c r="AB106" s="2">
        <f t="shared" si="35"/>
        <v>0.865887144294518</v>
      </c>
      <c r="AC106" s="2">
        <f t="shared" si="36"/>
        <v>0.882184345564937</v>
      </c>
      <c r="AD106" s="2">
        <f t="shared" si="37"/>
        <v>2320</v>
      </c>
      <c r="AE106" s="2">
        <f t="shared" si="38"/>
        <v>0</v>
      </c>
    </row>
    <row r="107" spans="1:31">
      <c r="A107" s="2">
        <v>25650</v>
      </c>
      <c r="B107" s="2">
        <v>4.45</v>
      </c>
      <c r="C107" s="4">
        <v>0.3</v>
      </c>
      <c r="D107" s="2">
        <f t="shared" si="39"/>
        <v>0.205405047709399</v>
      </c>
      <c r="E107" s="2">
        <f t="shared" si="40"/>
        <v>0.166258587655506</v>
      </c>
      <c r="F107" s="2">
        <f t="shared" si="41"/>
        <v>0.148795335673145</v>
      </c>
      <c r="G107" s="2">
        <f t="shared" si="42"/>
        <v>0.143593140887964</v>
      </c>
      <c r="H107" s="2">
        <f t="shared" si="43"/>
        <v>0.143104841342951</v>
      </c>
      <c r="I107" s="2">
        <f t="shared" si="44"/>
        <v>0.143100662091631</v>
      </c>
      <c r="J107" s="2">
        <f t="shared" si="45"/>
        <v>0.143100661786826</v>
      </c>
      <c r="K107" s="2">
        <f t="shared" si="46"/>
        <v>-2.21424861923508</v>
      </c>
      <c r="L107" s="2">
        <f t="shared" si="47"/>
        <v>-2.255558222037</v>
      </c>
      <c r="M107" s="2">
        <f t="shared" si="48"/>
        <v>0.0134058404971632</v>
      </c>
      <c r="N107" s="2">
        <f t="shared" si="49"/>
        <v>0.0120491560678205</v>
      </c>
      <c r="O107" s="2">
        <f t="shared" si="50"/>
        <v>4.44999999999993</v>
      </c>
      <c r="P107" s="2">
        <f t="shared" si="51"/>
        <v>-6.83897383169096e-14</v>
      </c>
      <c r="Q107" s="2">
        <v>2492.35</v>
      </c>
      <c r="R107" s="4">
        <v>0.3</v>
      </c>
      <c r="S107" s="2">
        <f t="shared" si="26"/>
        <v>0.355329278288938</v>
      </c>
      <c r="T107" s="2">
        <f t="shared" si="27"/>
        <v>0.350932858372451</v>
      </c>
      <c r="U107" s="2">
        <f t="shared" si="28"/>
        <v>0.350910468727464</v>
      </c>
      <c r="V107" s="2">
        <f t="shared" si="29"/>
        <v>0.350910468136047</v>
      </c>
      <c r="W107" s="2">
        <f t="shared" si="30"/>
        <v>0.35091046813605</v>
      </c>
      <c r="X107" s="2">
        <f t="shared" si="31"/>
        <v>0.350910468136049</v>
      </c>
      <c r="Y107" s="2">
        <f t="shared" si="32"/>
        <v>0.350910468136049</v>
      </c>
      <c r="Z107" s="2">
        <f t="shared" si="33"/>
        <v>-0.860740057585215</v>
      </c>
      <c r="AA107" s="2">
        <f t="shared" si="34"/>
        <v>-0.962039184205118</v>
      </c>
      <c r="AB107" s="2">
        <f t="shared" si="35"/>
        <v>0.805309387208401</v>
      </c>
      <c r="AC107" s="2">
        <f t="shared" si="36"/>
        <v>0.831985039396593</v>
      </c>
      <c r="AD107" s="2">
        <f t="shared" si="37"/>
        <v>2492.35</v>
      </c>
      <c r="AE107" s="2">
        <f t="shared" si="38"/>
        <v>0</v>
      </c>
    </row>
    <row r="108" spans="1:31">
      <c r="A108" s="2">
        <v>25700</v>
      </c>
      <c r="B108" s="2">
        <v>3.05</v>
      </c>
      <c r="C108" s="4">
        <v>0.3</v>
      </c>
      <c r="D108" s="2">
        <f t="shared" si="39"/>
        <v>0.206484111213688</v>
      </c>
      <c r="E108" s="2">
        <f t="shared" si="40"/>
        <v>0.166396730458503</v>
      </c>
      <c r="F108" s="2">
        <f t="shared" si="41"/>
        <v>0.147003043982447</v>
      </c>
      <c r="G108" s="2">
        <f t="shared" si="42"/>
        <v>0.13983923208852</v>
      </c>
      <c r="H108" s="2">
        <f t="shared" si="43"/>
        <v>0.138759793134834</v>
      </c>
      <c r="I108" s="2">
        <f t="shared" si="44"/>
        <v>0.138736236797342</v>
      </c>
      <c r="J108" s="2">
        <f t="shared" si="45"/>
        <v>0.138736225714756</v>
      </c>
      <c r="K108" s="2">
        <f t="shared" si="46"/>
        <v>-2.33381041319608</v>
      </c>
      <c r="L108" s="2">
        <f t="shared" si="47"/>
        <v>-2.37386011182746</v>
      </c>
      <c r="M108" s="2">
        <f t="shared" si="48"/>
        <v>0.00980282565423129</v>
      </c>
      <c r="N108" s="2">
        <f t="shared" si="49"/>
        <v>0.00880160911095845</v>
      </c>
      <c r="O108" s="2">
        <f t="shared" si="50"/>
        <v>3.05000000000035</v>
      </c>
      <c r="P108" s="2">
        <f t="shared" si="51"/>
        <v>3.5260683262095e-13</v>
      </c>
      <c r="Q108" s="2">
        <v>2420</v>
      </c>
      <c r="R108" s="4">
        <v>0.3</v>
      </c>
      <c r="S108" s="2">
        <f t="shared" si="26"/>
        <v>0.282146726716416</v>
      </c>
      <c r="T108" s="2">
        <f t="shared" si="27"/>
        <v>0.281442694624432</v>
      </c>
      <c r="U108" s="2">
        <f t="shared" si="28"/>
        <v>0.281441513811043</v>
      </c>
      <c r="V108" s="2">
        <f t="shared" si="29"/>
        <v>0.281441513807714</v>
      </c>
      <c r="W108" s="2">
        <f t="shared" si="30"/>
        <v>0.281441513807714</v>
      </c>
      <c r="X108" s="2">
        <f t="shared" si="31"/>
        <v>0.281441513807714</v>
      </c>
      <c r="Y108" s="2">
        <f t="shared" si="32"/>
        <v>0.281441513807714</v>
      </c>
      <c r="Z108" s="2">
        <f t="shared" si="33"/>
        <v>-1.11969742712688</v>
      </c>
      <c r="AA108" s="2">
        <f t="shared" si="34"/>
        <v>-1.20094259400589</v>
      </c>
      <c r="AB108" s="2">
        <f t="shared" si="35"/>
        <v>0.868578639089436</v>
      </c>
      <c r="AC108" s="2">
        <f t="shared" si="36"/>
        <v>0.885113264883025</v>
      </c>
      <c r="AD108" s="2">
        <f t="shared" si="37"/>
        <v>2420</v>
      </c>
      <c r="AE108" s="2">
        <f t="shared" si="38"/>
        <v>0</v>
      </c>
    </row>
    <row r="109" spans="1:31">
      <c r="A109" s="2">
        <v>25750</v>
      </c>
      <c r="B109" s="2">
        <v>2.8</v>
      </c>
      <c r="C109" s="4">
        <v>0.3</v>
      </c>
      <c r="D109" s="2">
        <f t="shared" si="39"/>
        <v>0.208227916100915</v>
      </c>
      <c r="E109" s="2">
        <f t="shared" si="40"/>
        <v>0.168199960775759</v>
      </c>
      <c r="F109" s="2">
        <f t="shared" si="41"/>
        <v>0.148509060324902</v>
      </c>
      <c r="G109" s="2">
        <f t="shared" si="42"/>
        <v>0.140985325018199</v>
      </c>
      <c r="H109" s="2">
        <f t="shared" si="43"/>
        <v>0.139766090627899</v>
      </c>
      <c r="I109" s="2">
        <f t="shared" si="44"/>
        <v>0.139735383373305</v>
      </c>
      <c r="J109" s="2">
        <f t="shared" si="45"/>
        <v>0.139735364171998</v>
      </c>
      <c r="K109" s="2">
        <f t="shared" si="46"/>
        <v>-2.36501934067327</v>
      </c>
      <c r="L109" s="2">
        <f t="shared" si="47"/>
        <v>-2.40535746573328</v>
      </c>
      <c r="M109" s="2">
        <f t="shared" si="48"/>
        <v>0.00901456468510894</v>
      </c>
      <c r="N109" s="2">
        <f t="shared" si="49"/>
        <v>0.00807832660221955</v>
      </c>
      <c r="O109" s="2">
        <f t="shared" si="50"/>
        <v>2.80000000000123</v>
      </c>
      <c r="P109" s="2">
        <f t="shared" si="51"/>
        <v>1.23367982496347e-12</v>
      </c>
      <c r="Q109" s="2">
        <v>1659.3</v>
      </c>
      <c r="R109" s="4">
        <v>0.3</v>
      </c>
      <c r="S109" s="2">
        <f t="shared" si="26"/>
        <v>0.0001</v>
      </c>
      <c r="T109" s="2">
        <f t="shared" si="27"/>
        <v>0.0001</v>
      </c>
      <c r="U109" s="2">
        <f t="shared" si="28"/>
        <v>0.0001</v>
      </c>
      <c r="V109" s="2">
        <f t="shared" si="29"/>
        <v>0.0001</v>
      </c>
      <c r="W109" s="2">
        <f t="shared" si="30"/>
        <v>0.0001</v>
      </c>
      <c r="X109" s="2">
        <f t="shared" si="31"/>
        <v>0.0001</v>
      </c>
      <c r="Y109" s="2">
        <f t="shared" si="32"/>
        <v>0.0001</v>
      </c>
      <c r="Z109" s="2">
        <f t="shared" si="33"/>
        <v>-3332.9516869706</v>
      </c>
      <c r="AA109" s="2">
        <f t="shared" si="34"/>
        <v>-3332.95171583811</v>
      </c>
      <c r="AB109" s="2">
        <f t="shared" si="35"/>
        <v>1</v>
      </c>
      <c r="AC109" s="2">
        <f t="shared" si="36"/>
        <v>1</v>
      </c>
      <c r="AD109" s="2">
        <f t="shared" si="37"/>
        <v>2349.29790827277</v>
      </c>
      <c r="AE109" s="2">
        <f t="shared" si="38"/>
        <v>689.997908272765</v>
      </c>
    </row>
    <row r="110" spans="1:31">
      <c r="A110" s="2">
        <v>25800</v>
      </c>
      <c r="B110" s="2">
        <v>3.35</v>
      </c>
      <c r="C110" s="4">
        <v>0.3</v>
      </c>
      <c r="D110" s="2">
        <f t="shared" si="39"/>
        <v>0.210454665524352</v>
      </c>
      <c r="E110" s="2">
        <f t="shared" si="40"/>
        <v>0.171262446995927</v>
      </c>
      <c r="F110" s="2">
        <f t="shared" si="41"/>
        <v>0.152604579262774</v>
      </c>
      <c r="G110" s="2">
        <f t="shared" si="42"/>
        <v>0.146208444388069</v>
      </c>
      <c r="H110" s="2">
        <f t="shared" si="43"/>
        <v>0.145401528382376</v>
      </c>
      <c r="I110" s="2">
        <f t="shared" si="44"/>
        <v>0.145389174496307</v>
      </c>
      <c r="J110" s="2">
        <f t="shared" si="45"/>
        <v>0.145389171625507</v>
      </c>
      <c r="K110" s="2">
        <f t="shared" si="46"/>
        <v>-2.31766950800923</v>
      </c>
      <c r="L110" s="2">
        <f t="shared" si="47"/>
        <v>-2.35963974669685</v>
      </c>
      <c r="M110" s="2">
        <f t="shared" si="48"/>
        <v>0.0102336447063191</v>
      </c>
      <c r="N110" s="2">
        <f t="shared" si="49"/>
        <v>0.00914634479969173</v>
      </c>
      <c r="O110" s="2">
        <f t="shared" si="50"/>
        <v>3.34999999999999</v>
      </c>
      <c r="P110" s="2">
        <f t="shared" si="51"/>
        <v>-5.77315972805081e-15</v>
      </c>
      <c r="Q110" s="2">
        <v>2520</v>
      </c>
      <c r="R110" s="4">
        <v>0.3</v>
      </c>
      <c r="S110" s="2">
        <f t="shared" si="26"/>
        <v>0.289990313620843</v>
      </c>
      <c r="T110" s="2">
        <f t="shared" si="27"/>
        <v>0.289761913727147</v>
      </c>
      <c r="U110" s="2">
        <f t="shared" si="28"/>
        <v>0.289761790044119</v>
      </c>
      <c r="V110" s="2">
        <f t="shared" si="29"/>
        <v>0.28976179004408</v>
      </c>
      <c r="W110" s="2">
        <f t="shared" si="30"/>
        <v>0.289761790044085</v>
      </c>
      <c r="X110" s="2">
        <f t="shared" si="31"/>
        <v>0.289761790044083</v>
      </c>
      <c r="Y110" s="2">
        <f t="shared" si="32"/>
        <v>0.289761790044083</v>
      </c>
      <c r="Z110" s="2">
        <f t="shared" si="33"/>
        <v>-1.13160607985459</v>
      </c>
      <c r="AA110" s="2">
        <f t="shared" si="34"/>
        <v>-1.21525310359599</v>
      </c>
      <c r="AB110" s="2">
        <f t="shared" si="35"/>
        <v>0.871099958564756</v>
      </c>
      <c r="AC110" s="2">
        <f t="shared" si="36"/>
        <v>0.887865213875436</v>
      </c>
      <c r="AD110" s="2">
        <f t="shared" si="37"/>
        <v>2520</v>
      </c>
      <c r="AE110" s="2">
        <f t="shared" si="38"/>
        <v>0</v>
      </c>
    </row>
    <row r="111" spans="1:31">
      <c r="A111" s="2">
        <v>25850</v>
      </c>
      <c r="B111" s="2">
        <v>6</v>
      </c>
      <c r="C111" s="4">
        <v>0.3</v>
      </c>
      <c r="D111" s="2">
        <f t="shared" si="39"/>
        <v>0.214107154628312</v>
      </c>
      <c r="E111" s="2">
        <f t="shared" si="40"/>
        <v>0.177799694322061</v>
      </c>
      <c r="F111" s="2">
        <f t="shared" si="41"/>
        <v>0.163133236636506</v>
      </c>
      <c r="G111" s="2">
        <f t="shared" si="42"/>
        <v>0.159933364623482</v>
      </c>
      <c r="H111" s="2">
        <f t="shared" si="43"/>
        <v>0.159779650638135</v>
      </c>
      <c r="I111" s="2">
        <f t="shared" si="44"/>
        <v>0.159779302123845</v>
      </c>
      <c r="J111" s="2">
        <f t="shared" si="45"/>
        <v>0.159779302122055</v>
      </c>
      <c r="K111" s="2">
        <f t="shared" si="46"/>
        <v>-2.14694317527572</v>
      </c>
      <c r="L111" s="2">
        <f t="shared" si="47"/>
        <v>-2.19306748682127</v>
      </c>
      <c r="M111" s="2">
        <f t="shared" si="48"/>
        <v>0.0158989028984181</v>
      </c>
      <c r="N111" s="2">
        <f t="shared" si="49"/>
        <v>0.0141512585636758</v>
      </c>
      <c r="O111" s="2">
        <f t="shared" si="50"/>
        <v>6.00000000000006</v>
      </c>
      <c r="P111" s="2">
        <f t="shared" si="51"/>
        <v>5.6843418860808e-14</v>
      </c>
      <c r="Q111" s="2">
        <v>1093.8</v>
      </c>
      <c r="R111" s="4">
        <v>0.3</v>
      </c>
      <c r="S111" s="2">
        <f t="shared" si="26"/>
        <v>0.0001</v>
      </c>
      <c r="T111" s="2">
        <f t="shared" si="27"/>
        <v>0.0001</v>
      </c>
      <c r="U111" s="2">
        <f t="shared" si="28"/>
        <v>0.0001</v>
      </c>
      <c r="V111" s="2">
        <f t="shared" si="29"/>
        <v>0.0001</v>
      </c>
      <c r="W111" s="2">
        <f t="shared" si="30"/>
        <v>0.0001</v>
      </c>
      <c r="X111" s="2">
        <f t="shared" si="31"/>
        <v>0.0001</v>
      </c>
      <c r="Y111" s="2">
        <f t="shared" si="32"/>
        <v>0.0001</v>
      </c>
      <c r="Z111" s="2">
        <f t="shared" si="33"/>
        <v>-3467.21935952692</v>
      </c>
      <c r="AA111" s="2">
        <f t="shared" si="34"/>
        <v>-3467.21938839443</v>
      </c>
      <c r="AB111" s="2">
        <f t="shared" si="35"/>
        <v>1</v>
      </c>
      <c r="AC111" s="2">
        <f t="shared" si="36"/>
        <v>1</v>
      </c>
      <c r="AD111" s="2">
        <f t="shared" si="37"/>
        <v>2448.7577059748</v>
      </c>
      <c r="AE111" s="2">
        <f t="shared" si="38"/>
        <v>1354.9577059748</v>
      </c>
    </row>
    <row r="112" spans="1:31">
      <c r="A112" s="2">
        <v>25900</v>
      </c>
      <c r="B112" s="2">
        <v>3.45</v>
      </c>
      <c r="C112" s="4">
        <v>0.3</v>
      </c>
      <c r="D112" s="2">
        <f t="shared" si="39"/>
        <v>0.21411157317467</v>
      </c>
      <c r="E112" s="2">
        <f t="shared" si="40"/>
        <v>0.175699783720158</v>
      </c>
      <c r="F112" s="2">
        <f t="shared" si="41"/>
        <v>0.157537528461381</v>
      </c>
      <c r="G112" s="2">
        <f t="shared" si="42"/>
        <v>0.151588216267089</v>
      </c>
      <c r="H112" s="2">
        <f t="shared" si="43"/>
        <v>0.15091513887521</v>
      </c>
      <c r="I112" s="2">
        <f t="shared" si="44"/>
        <v>0.15090684771578</v>
      </c>
      <c r="J112" s="2">
        <f t="shared" si="45"/>
        <v>0.150906846466536</v>
      </c>
      <c r="K112" s="2">
        <f t="shared" si="46"/>
        <v>-2.32016560066516</v>
      </c>
      <c r="L112" s="2">
        <f t="shared" si="47"/>
        <v>-2.36372865488017</v>
      </c>
      <c r="M112" s="2">
        <f t="shared" si="48"/>
        <v>0.0101659603457903</v>
      </c>
      <c r="N112" s="2">
        <f t="shared" si="49"/>
        <v>0.00904602914222936</v>
      </c>
      <c r="O112" s="2">
        <f t="shared" si="50"/>
        <v>3.45000000000002</v>
      </c>
      <c r="P112" s="2">
        <f t="shared" si="51"/>
        <v>1.68753899743024e-14</v>
      </c>
      <c r="Q112" s="2">
        <v>2669.9</v>
      </c>
      <c r="R112" s="4">
        <v>0.3</v>
      </c>
      <c r="S112" s="2">
        <f t="shared" si="26"/>
        <v>0.333473301731825</v>
      </c>
      <c r="T112" s="2">
        <f t="shared" si="27"/>
        <v>0.331338112200009</v>
      </c>
      <c r="U112" s="2">
        <f t="shared" si="28"/>
        <v>0.331330363431217</v>
      </c>
      <c r="V112" s="2">
        <f t="shared" si="29"/>
        <v>0.331330363328337</v>
      </c>
      <c r="W112" s="2">
        <f t="shared" si="30"/>
        <v>0.331330363328337</v>
      </c>
      <c r="X112" s="2">
        <f t="shared" si="31"/>
        <v>0.331330363328337</v>
      </c>
      <c r="Y112" s="2">
        <f t="shared" si="32"/>
        <v>0.331330363328337</v>
      </c>
      <c r="Z112" s="2">
        <f t="shared" si="33"/>
        <v>-1.01883359432363</v>
      </c>
      <c r="AA112" s="2">
        <f t="shared" si="34"/>
        <v>-1.11448043155278</v>
      </c>
      <c r="AB112" s="2">
        <f t="shared" si="35"/>
        <v>0.845859013034426</v>
      </c>
      <c r="AC112" s="2">
        <f t="shared" si="36"/>
        <v>0.867463432593894</v>
      </c>
      <c r="AD112" s="2">
        <f t="shared" si="37"/>
        <v>2669.9</v>
      </c>
      <c r="AE112" s="2">
        <f t="shared" si="38"/>
        <v>0</v>
      </c>
    </row>
    <row r="113" spans="1:31">
      <c r="A113" s="2">
        <v>25950</v>
      </c>
      <c r="B113" s="2">
        <v>3.75</v>
      </c>
      <c r="C113" s="4">
        <v>0.3</v>
      </c>
      <c r="D113" s="2">
        <f t="shared" si="39"/>
        <v>0.21605786819063</v>
      </c>
      <c r="E113" s="2">
        <f t="shared" si="40"/>
        <v>0.178322750575521</v>
      </c>
      <c r="F113" s="2">
        <f t="shared" si="41"/>
        <v>0.160855253332495</v>
      </c>
      <c r="G113" s="2">
        <f t="shared" si="42"/>
        <v>0.155524749770268</v>
      </c>
      <c r="H113" s="2">
        <f t="shared" si="43"/>
        <v>0.155009776376754</v>
      </c>
      <c r="I113" s="2">
        <f t="shared" si="44"/>
        <v>0.155005136033512</v>
      </c>
      <c r="J113" s="2">
        <f t="shared" si="45"/>
        <v>0.155005135658668</v>
      </c>
      <c r="K113" s="2">
        <f t="shared" si="46"/>
        <v>-2.30075553532884</v>
      </c>
      <c r="L113" s="2">
        <f t="shared" si="47"/>
        <v>-2.34550166372799</v>
      </c>
      <c r="M113" s="2">
        <f t="shared" si="48"/>
        <v>0.0107027265306972</v>
      </c>
      <c r="N113" s="2">
        <f t="shared" si="49"/>
        <v>0.00950074689336853</v>
      </c>
      <c r="O113" s="2">
        <f t="shared" si="50"/>
        <v>3.75000000000031</v>
      </c>
      <c r="P113" s="2">
        <f t="shared" si="51"/>
        <v>3.12638803734444e-13</v>
      </c>
    </row>
    <row r="114" spans="1:31">
      <c r="A114" s="2">
        <v>26000</v>
      </c>
      <c r="B114" s="2">
        <v>2.05</v>
      </c>
      <c r="C114" s="4">
        <v>0.3</v>
      </c>
      <c r="D114" s="2">
        <f t="shared" si="39"/>
        <v>0.216476906688938</v>
      </c>
      <c r="E114" s="2">
        <f t="shared" si="40"/>
        <v>0.177249128847916</v>
      </c>
      <c r="F114" s="2">
        <f t="shared" si="41"/>
        <v>0.156817565033326</v>
      </c>
      <c r="G114" s="2">
        <f t="shared" si="42"/>
        <v>0.148219330549841</v>
      </c>
      <c r="H114" s="2">
        <f t="shared" si="43"/>
        <v>0.146516075246593</v>
      </c>
      <c r="I114" s="2">
        <f t="shared" si="44"/>
        <v>0.14645248406231</v>
      </c>
      <c r="J114" s="2">
        <f t="shared" si="45"/>
        <v>0.146452397400179</v>
      </c>
      <c r="K114" s="2">
        <f t="shared" si="46"/>
        <v>-2.48319059071265</v>
      </c>
      <c r="L114" s="2">
        <f t="shared" si="47"/>
        <v>-2.52546775624388</v>
      </c>
      <c r="M114" s="2">
        <f t="shared" si="48"/>
        <v>0.00651056993681243</v>
      </c>
      <c r="N114" s="2">
        <f t="shared" si="49"/>
        <v>0.00577721919555067</v>
      </c>
      <c r="O114" s="2">
        <f t="shared" si="50"/>
        <v>2.05000000001968</v>
      </c>
      <c r="P114" s="2">
        <f t="shared" si="51"/>
        <v>1.96793692452957e-11</v>
      </c>
      <c r="Q114" s="2">
        <v>2712.5</v>
      </c>
      <c r="R114" s="4">
        <v>0.3</v>
      </c>
      <c r="S114" s="2">
        <f t="shared" ref="S114:S120" si="52">IFERROR(MEDIAN(0.0001,5,R114-((A114*EXP(-$B$5*$B$4)*NORMSDIST(-(((LN($B$6/A114)+($B$5+R114^2/2)*$B$4)/(R114*SQRT($B$4))-R114*SQRT($B$4))))-$B$6*NORMSDIST(-((LN($B$6/A114)+($B$5+R114^2/2)*$B$4)/(R114*SQRT($B$4)))))-Q114)/($B$6*SQRT($B$4)*NORMDIST((LN($B$6/A114)+($B$5+R114^2/2)*$B$4)/(R114*SQRT($B$4)),0,1,FALSE()))),R114)</f>
        <v>0.300650231510684</v>
      </c>
      <c r="T114" s="2">
        <f t="shared" ref="T114:T120" si="53">IFERROR(MEDIAN(0.0001,5,S114-((A114*EXP(-$B$5*$B$4)*NORMSDIST(-(((LN($B$6/A114)+($B$5+S114^2/2)*$B$4)/(S114*SQRT($B$4))-S114*SQRT($B$4))))-$B$6*NORMSDIST(-((LN($B$6/A114)+($B$5+S114^2/2)*$B$4)/(S114*SQRT($B$4)))))-Q114)/($B$6*SQRT($B$4)*NORMDIST((LN($B$6/A114)+($B$5+S114^2/2)*$B$4)/(S114*SQRT($B$4)),0,1,FALSE()))),S114)</f>
        <v>0.300649184146555</v>
      </c>
      <c r="U114" s="2">
        <f t="shared" ref="U114:U120" si="54">IFERROR(MEDIAN(0.0001,5,T114-((A114*EXP(-$B$5*$B$4)*NORMSDIST(-(((LN($B$6/A114)+($B$5+T114^2/2)*$B$4)/(T114*SQRT($B$4))-T114*SQRT($B$4))))-$B$6*NORMSDIST(-((LN($B$6/A114)+($B$5+T114^2/2)*$B$4)/(T114*SQRT($B$4)))))-Q114)/($B$6*SQRT($B$4)*NORMDIST((LN($B$6/A114)+($B$5+T114^2/2)*$B$4)/(T114*SQRT($B$4)),0,1,FALSE()))),T114)</f>
        <v>0.300649184143842</v>
      </c>
      <c r="V114" s="2">
        <f t="shared" ref="V114:V120" si="55">IFERROR(MEDIAN(0.0001,5,U114-((A114*EXP(-$B$5*$B$4)*NORMSDIST(-(((LN($B$6/A114)+($B$5+U114^2/2)*$B$4)/(U114*SQRT($B$4))-U114*SQRT($B$4))))-$B$6*NORMSDIST(-((LN($B$6/A114)+($B$5+U114^2/2)*$B$4)/(U114*SQRT($B$4)))))-Q114)/($B$6*SQRT($B$4)*NORMDIST((LN($B$6/A114)+($B$5+U114^2/2)*$B$4)/(U114*SQRT($B$4)),0,1,FALSE()))),U114)</f>
        <v>0.300649184143845</v>
      </c>
      <c r="W114" s="2">
        <f t="shared" ref="W114:W120" si="56">IFERROR(MEDIAN(0.0001,5,V114-((A114*EXP(-$B$5*$B$4)*NORMSDIST(-(((LN($B$6/A114)+($B$5+V114^2/2)*$B$4)/(V114*SQRT($B$4))-V114*SQRT($B$4))))-$B$6*NORMSDIST(-((LN($B$6/A114)+($B$5+V114^2/2)*$B$4)/(V114*SQRT($B$4)))))-Q114)/($B$6*SQRT($B$4)*NORMDIST((LN($B$6/A114)+($B$5+V114^2/2)*$B$4)/(V114*SQRT($B$4)),0,1,FALSE()))),V114)</f>
        <v>0.300649184143845</v>
      </c>
      <c r="X114" s="2">
        <f t="shared" ref="X114:X120" si="57">IFERROR(MEDIAN(0.0001,5,W114-((A114*EXP(-$B$5*$B$4)*NORMSDIST(-(((LN($B$6/A114)+($B$5+W114^2/2)*$B$4)/(W114*SQRT($B$4))-W114*SQRT($B$4))))-$B$6*NORMSDIST(-((LN($B$6/A114)+($B$5+W114^2/2)*$B$4)/(W114*SQRT($B$4)))))-Q114)/($B$6*SQRT($B$4)*NORMDIST((LN($B$6/A114)+($B$5+W114^2/2)*$B$4)/(W114*SQRT($B$4)),0,1,FALSE()))),W114)</f>
        <v>0.300649184143845</v>
      </c>
      <c r="Y114" s="2">
        <f t="shared" ref="Y114:Y120" si="58">IFERROR(MEDIAN(0.0001,5,X114-((A114*EXP(-$B$5*$B$4)*NORMSDIST(-(((LN($B$6/A114)+($B$5+X114^2/2)*$B$4)/(X114*SQRT($B$4))-X114*SQRT($B$4))))-$B$6*NORMSDIST(-((LN($B$6/A114)+($B$5+X114^2/2)*$B$4)/(X114*SQRT($B$4)))))-Q114)/($B$6*SQRT($B$4)*NORMDIST((LN($B$6/A114)+($B$5+X114^2/2)*$B$4)/(X114*SQRT($B$4)),0,1,FALSE()))),X114)</f>
        <v>0.300649184143845</v>
      </c>
      <c r="Z114" s="2">
        <f t="shared" ref="Z114:Z120" si="59">(LN($B$6/A114)+($B$5+Y114^2/2)*$B$4)/(Y114*SQRT($B$4))</f>
        <v>-1.17651524470273</v>
      </c>
      <c r="AA114" s="2">
        <f t="shared" ref="AA114:AA120" si="60">Z114-Y114*SQRT($B$4)</f>
        <v>-1.26330518840127</v>
      </c>
      <c r="AB114" s="2">
        <f t="shared" ref="AB114:AB120" si="61">NORMSDIST(-Z114)</f>
        <v>0.880305477898124</v>
      </c>
      <c r="AC114" s="2">
        <f t="shared" ref="AC114:AC120" si="62">NORMSDIST(-AA114)</f>
        <v>0.896760238828005</v>
      </c>
      <c r="AD114" s="2">
        <f t="shared" ref="AD114:AD120" si="63">A114*EXP(-$B$5*$B$4)*AC114-$B$6*AB114</f>
        <v>2712.5</v>
      </c>
      <c r="AE114" s="2">
        <f t="shared" ref="AE114:AE120" si="64">AD114-Q114</f>
        <v>0</v>
      </c>
    </row>
    <row r="115" spans="1:31">
      <c r="A115" s="2">
        <v>26050</v>
      </c>
      <c r="B115" s="2">
        <v>3</v>
      </c>
      <c r="C115" s="4">
        <v>0.3</v>
      </c>
      <c r="D115" s="2">
        <f t="shared" si="39"/>
        <v>0.218823170310668</v>
      </c>
      <c r="E115" s="2">
        <f t="shared" si="40"/>
        <v>0.181024160583988</v>
      </c>
      <c r="F115" s="2">
        <f t="shared" si="41"/>
        <v>0.162644742087157</v>
      </c>
      <c r="G115" s="2">
        <f t="shared" si="42"/>
        <v>0.156374793633059</v>
      </c>
      <c r="H115" s="2">
        <f t="shared" si="43"/>
        <v>0.155608357775024</v>
      </c>
      <c r="I115" s="2">
        <f t="shared" si="44"/>
        <v>0.155597391010957</v>
      </c>
      <c r="J115" s="2">
        <f t="shared" si="45"/>
        <v>0.155597388784909</v>
      </c>
      <c r="K115" s="2">
        <f t="shared" si="46"/>
        <v>-2.37745542693256</v>
      </c>
      <c r="L115" s="2">
        <f t="shared" si="47"/>
        <v>-2.42237252408264</v>
      </c>
      <c r="M115" s="2">
        <f t="shared" si="48"/>
        <v>0.00871627485510535</v>
      </c>
      <c r="N115" s="2">
        <f t="shared" si="49"/>
        <v>0.00770976731021702</v>
      </c>
      <c r="O115" s="2">
        <f t="shared" si="50"/>
        <v>3.00000000000003</v>
      </c>
      <c r="P115" s="2">
        <f t="shared" si="51"/>
        <v>2.8421709430404e-14</v>
      </c>
      <c r="Q115" s="2">
        <v>2789</v>
      </c>
      <c r="R115" s="4">
        <v>0.3</v>
      </c>
      <c r="S115" s="2">
        <f t="shared" si="52"/>
        <v>0.325084153255183</v>
      </c>
      <c r="T115" s="2">
        <f t="shared" si="53"/>
        <v>0.323695461221977</v>
      </c>
      <c r="U115" s="2">
        <f t="shared" si="54"/>
        <v>0.32369152237117</v>
      </c>
      <c r="V115" s="2">
        <f t="shared" si="55"/>
        <v>0.323691522339327</v>
      </c>
      <c r="W115" s="2">
        <f t="shared" si="56"/>
        <v>0.32369152233933</v>
      </c>
      <c r="X115" s="2">
        <f t="shared" si="57"/>
        <v>0.32369152233933</v>
      </c>
      <c r="Y115" s="2">
        <f t="shared" si="58"/>
        <v>0.32369152233933</v>
      </c>
      <c r="Z115" s="2">
        <f t="shared" si="59"/>
        <v>-1.1069094527203</v>
      </c>
      <c r="AA115" s="2">
        <f t="shared" si="60"/>
        <v>-1.20035114649881</v>
      </c>
      <c r="AB115" s="2">
        <f t="shared" si="61"/>
        <v>0.865833460717684</v>
      </c>
      <c r="AC115" s="2">
        <f t="shared" si="62"/>
        <v>0.884998503165899</v>
      </c>
      <c r="AD115" s="2">
        <f t="shared" si="63"/>
        <v>2789</v>
      </c>
      <c r="AE115" s="2">
        <f t="shared" si="64"/>
        <v>0</v>
      </c>
    </row>
    <row r="116" spans="1:31">
      <c r="A116" s="2">
        <v>26100</v>
      </c>
      <c r="B116" s="2">
        <v>2.5</v>
      </c>
      <c r="C116" s="4">
        <v>0.3</v>
      </c>
      <c r="D116" s="2">
        <f t="shared" si="39"/>
        <v>0.220024593016757</v>
      </c>
      <c r="E116" s="2">
        <f t="shared" si="40"/>
        <v>0.18201580989407</v>
      </c>
      <c r="F116" s="2">
        <f t="shared" si="41"/>
        <v>0.162851665401012</v>
      </c>
      <c r="G116" s="2">
        <f t="shared" si="42"/>
        <v>0.155699462957974</v>
      </c>
      <c r="H116" s="2">
        <f t="shared" si="43"/>
        <v>0.154635483595845</v>
      </c>
      <c r="I116" s="2">
        <f t="shared" si="44"/>
        <v>0.154613067083722</v>
      </c>
      <c r="J116" s="2">
        <f t="shared" si="45"/>
        <v>0.15461305726239</v>
      </c>
      <c r="K116" s="2">
        <f t="shared" si="46"/>
        <v>-2.43583893339818</v>
      </c>
      <c r="L116" s="2">
        <f t="shared" si="47"/>
        <v>-2.48047187851351</v>
      </c>
      <c r="M116" s="2">
        <f t="shared" si="48"/>
        <v>0.00742864921774866</v>
      </c>
      <c r="N116" s="2">
        <f t="shared" si="49"/>
        <v>0.00656043065630313</v>
      </c>
      <c r="O116" s="2">
        <f t="shared" si="50"/>
        <v>2.50000000000043</v>
      </c>
      <c r="P116" s="2">
        <f t="shared" si="51"/>
        <v>4.2632564145606e-13</v>
      </c>
      <c r="Q116" s="2">
        <v>2615</v>
      </c>
      <c r="R116" s="4">
        <v>0.3</v>
      </c>
      <c r="S116" s="2">
        <f t="shared" si="52"/>
        <v>0.153023101315079</v>
      </c>
      <c r="T116" s="2">
        <f t="shared" si="53"/>
        <v>0.0001</v>
      </c>
      <c r="U116" s="2">
        <f t="shared" si="54"/>
        <v>0.0001</v>
      </c>
      <c r="V116" s="2">
        <f t="shared" si="55"/>
        <v>0.0001</v>
      </c>
      <c r="W116" s="2">
        <f t="shared" si="56"/>
        <v>0.0001</v>
      </c>
      <c r="X116" s="2">
        <f t="shared" si="57"/>
        <v>0.0001</v>
      </c>
      <c r="Y116" s="2">
        <f t="shared" si="58"/>
        <v>0.0001</v>
      </c>
      <c r="Z116" s="2">
        <f t="shared" si="59"/>
        <v>-3800.62921097529</v>
      </c>
      <c r="AA116" s="2">
        <f t="shared" si="60"/>
        <v>-3800.62923984281</v>
      </c>
      <c r="AB116" s="2">
        <f t="shared" si="61"/>
        <v>1</v>
      </c>
      <c r="AC116" s="2">
        <f t="shared" si="62"/>
        <v>1</v>
      </c>
      <c r="AD116" s="2">
        <f t="shared" si="63"/>
        <v>2697.40720022987</v>
      </c>
      <c r="AE116" s="2">
        <f t="shared" si="64"/>
        <v>82.4072002298708</v>
      </c>
    </row>
    <row r="117" spans="1:31">
      <c r="A117" s="2">
        <v>26150</v>
      </c>
      <c r="B117" s="2">
        <v>4.85</v>
      </c>
      <c r="C117" s="4">
        <v>0.3</v>
      </c>
      <c r="D117" s="2">
        <f t="shared" si="39"/>
        <v>0.223477408862875</v>
      </c>
      <c r="E117" s="2">
        <f t="shared" si="40"/>
        <v>0.188628522909455</v>
      </c>
      <c r="F117" s="2">
        <f t="shared" si="41"/>
        <v>0.173952206434744</v>
      </c>
      <c r="G117" s="2">
        <f t="shared" si="42"/>
        <v>0.170603544348875</v>
      </c>
      <c r="H117" s="2">
        <f t="shared" si="43"/>
        <v>0.170430131215181</v>
      </c>
      <c r="I117" s="2">
        <f t="shared" si="44"/>
        <v>0.170429676429203</v>
      </c>
      <c r="J117" s="2">
        <f t="shared" si="45"/>
        <v>0.17042967642608</v>
      </c>
      <c r="K117" s="2">
        <f t="shared" si="46"/>
        <v>-2.24432929475899</v>
      </c>
      <c r="L117" s="2">
        <f t="shared" si="47"/>
        <v>-2.29352810454024</v>
      </c>
      <c r="M117" s="2">
        <f t="shared" si="48"/>
        <v>0.0124056110200597</v>
      </c>
      <c r="N117" s="2">
        <f t="shared" si="49"/>
        <v>0.0109088096136066</v>
      </c>
      <c r="O117" s="2">
        <f t="shared" si="50"/>
        <v>4.84999999999974</v>
      </c>
      <c r="P117" s="2">
        <f t="shared" si="51"/>
        <v>-2.61124455391837e-13</v>
      </c>
      <c r="Q117" s="2">
        <v>2950</v>
      </c>
      <c r="R117" s="4">
        <v>0.3</v>
      </c>
      <c r="S117" s="2">
        <f t="shared" si="52"/>
        <v>0.384054285614638</v>
      </c>
      <c r="T117" s="2">
        <f t="shared" si="53"/>
        <v>0.371633854818258</v>
      </c>
      <c r="U117" s="2">
        <f t="shared" si="54"/>
        <v>0.371419163919572</v>
      </c>
      <c r="V117" s="2">
        <f t="shared" si="55"/>
        <v>0.371419096890914</v>
      </c>
      <c r="W117" s="2">
        <f t="shared" si="56"/>
        <v>0.371419096890908</v>
      </c>
      <c r="X117" s="2">
        <f t="shared" si="57"/>
        <v>0.371419096890908</v>
      </c>
      <c r="Y117" s="2">
        <f t="shared" si="58"/>
        <v>0.371419096890908</v>
      </c>
      <c r="Z117" s="2">
        <f t="shared" si="59"/>
        <v>-0.987512785678985</v>
      </c>
      <c r="AA117" s="2">
        <f t="shared" si="60"/>
        <v>-1.09473224346505</v>
      </c>
      <c r="AB117" s="2">
        <f t="shared" si="61"/>
        <v>0.838304340952927</v>
      </c>
      <c r="AC117" s="2">
        <f t="shared" si="62"/>
        <v>0.86318302084356</v>
      </c>
      <c r="AD117" s="2">
        <f t="shared" si="63"/>
        <v>2950</v>
      </c>
      <c r="AE117" s="2">
        <f t="shared" si="64"/>
        <v>0</v>
      </c>
    </row>
    <row r="118" spans="1:31">
      <c r="A118" s="2">
        <v>26200</v>
      </c>
      <c r="B118" s="2">
        <v>2.25</v>
      </c>
      <c r="C118" s="4">
        <v>0.3</v>
      </c>
      <c r="D118" s="2">
        <f t="shared" si="39"/>
        <v>0.222873410158866</v>
      </c>
      <c r="E118" s="2">
        <f t="shared" si="40"/>
        <v>0.185299008258391</v>
      </c>
      <c r="F118" s="2">
        <f t="shared" si="41"/>
        <v>0.166001069848108</v>
      </c>
      <c r="G118" s="2">
        <f t="shared" si="42"/>
        <v>0.15859291178391</v>
      </c>
      <c r="H118" s="2">
        <f t="shared" si="43"/>
        <v>0.157427996440936</v>
      </c>
      <c r="I118" s="2">
        <f t="shared" si="44"/>
        <v>0.157400668672992</v>
      </c>
      <c r="J118" s="2">
        <f t="shared" si="45"/>
        <v>0.157400653856151</v>
      </c>
      <c r="K118" s="2">
        <f t="shared" si="46"/>
        <v>-2.47606355719078</v>
      </c>
      <c r="L118" s="2">
        <f t="shared" si="47"/>
        <v>-2.52150121212802</v>
      </c>
      <c r="M118" s="2">
        <f t="shared" si="48"/>
        <v>0.00664199640545565</v>
      </c>
      <c r="N118" s="2">
        <f t="shared" si="49"/>
        <v>0.00584276364366446</v>
      </c>
      <c r="O118" s="2">
        <f t="shared" si="50"/>
        <v>2.25000000000045</v>
      </c>
      <c r="P118" s="2">
        <f t="shared" si="51"/>
        <v>4.54747350886464e-13</v>
      </c>
      <c r="Q118" s="2">
        <v>2905.3</v>
      </c>
      <c r="R118" s="4">
        <v>0.3</v>
      </c>
      <c r="S118" s="2">
        <f t="shared" si="52"/>
        <v>0.311401878669309</v>
      </c>
      <c r="T118" s="2">
        <f t="shared" si="53"/>
        <v>0.311057850464958</v>
      </c>
      <c r="U118" s="2">
        <f t="shared" si="54"/>
        <v>0.311057547002163</v>
      </c>
      <c r="V118" s="2">
        <f t="shared" si="55"/>
        <v>0.31105754700193</v>
      </c>
      <c r="W118" s="2">
        <f t="shared" si="56"/>
        <v>0.31105754700193</v>
      </c>
      <c r="X118" s="2">
        <f t="shared" si="57"/>
        <v>0.31105754700193</v>
      </c>
      <c r="Y118" s="2">
        <f t="shared" si="58"/>
        <v>0.31105754700193</v>
      </c>
      <c r="Z118" s="2">
        <f t="shared" si="59"/>
        <v>-1.21953106127294</v>
      </c>
      <c r="AA118" s="2">
        <f t="shared" si="60"/>
        <v>-1.30932564052045</v>
      </c>
      <c r="AB118" s="2">
        <f t="shared" si="61"/>
        <v>0.888678652997759</v>
      </c>
      <c r="AC118" s="2">
        <f t="shared" si="62"/>
        <v>0.904787966093472</v>
      </c>
      <c r="AD118" s="2">
        <f t="shared" si="63"/>
        <v>2905.3</v>
      </c>
      <c r="AE118" s="2">
        <f t="shared" si="64"/>
        <v>0</v>
      </c>
    </row>
    <row r="119" spans="1:31">
      <c r="A119" s="2">
        <v>26250</v>
      </c>
      <c r="B119" s="2">
        <v>2.45</v>
      </c>
      <c r="C119" s="4">
        <v>0.3</v>
      </c>
      <c r="D119" s="2">
        <f t="shared" si="39"/>
        <v>0.224513579301557</v>
      </c>
      <c r="E119" s="2">
        <f t="shared" si="40"/>
        <v>0.187581850988796</v>
      </c>
      <c r="F119" s="2">
        <f t="shared" si="41"/>
        <v>0.168949099896116</v>
      </c>
      <c r="G119" s="2">
        <f t="shared" si="42"/>
        <v>0.162225574588596</v>
      </c>
      <c r="H119" s="2">
        <f t="shared" si="43"/>
        <v>0.161309231271578</v>
      </c>
      <c r="I119" s="2">
        <f t="shared" si="44"/>
        <v>0.161293045692251</v>
      </c>
      <c r="J119" s="2">
        <f t="shared" si="45"/>
        <v>0.161293040699188</v>
      </c>
      <c r="K119" s="2">
        <f t="shared" si="46"/>
        <v>-2.45614785547187</v>
      </c>
      <c r="L119" s="2">
        <f t="shared" si="47"/>
        <v>-2.50270914570492</v>
      </c>
      <c r="M119" s="2">
        <f t="shared" si="48"/>
        <v>0.00702176818760537</v>
      </c>
      <c r="N119" s="2">
        <f t="shared" si="49"/>
        <v>0.00616233911169199</v>
      </c>
      <c r="O119" s="2">
        <f t="shared" si="50"/>
        <v>2.45000000000019</v>
      </c>
      <c r="P119" s="2">
        <f t="shared" si="51"/>
        <v>1.87405646556726e-13</v>
      </c>
      <c r="Q119" s="2">
        <v>3000</v>
      </c>
      <c r="R119" s="4">
        <v>0.3</v>
      </c>
      <c r="S119" s="2">
        <f t="shared" si="52"/>
        <v>0.353961824443548</v>
      </c>
      <c r="T119" s="2">
        <f t="shared" si="53"/>
        <v>0.347749749627435</v>
      </c>
      <c r="U119" s="2">
        <f t="shared" si="54"/>
        <v>0.347677970373486</v>
      </c>
      <c r="V119" s="2">
        <f t="shared" si="55"/>
        <v>0.347677960591155</v>
      </c>
      <c r="W119" s="2">
        <f t="shared" si="56"/>
        <v>0.347677960591155</v>
      </c>
      <c r="X119" s="2">
        <f t="shared" si="57"/>
        <v>0.347677960591155</v>
      </c>
      <c r="Y119" s="2">
        <f t="shared" si="58"/>
        <v>0.347677960591155</v>
      </c>
      <c r="Z119" s="2">
        <f t="shared" si="59"/>
        <v>-1.10006122167344</v>
      </c>
      <c r="AA119" s="2">
        <f t="shared" si="60"/>
        <v>-1.20042720374275</v>
      </c>
      <c r="AB119" s="2">
        <f t="shared" si="61"/>
        <v>0.864347275879369</v>
      </c>
      <c r="AC119" s="2">
        <f t="shared" si="62"/>
        <v>0.885013265525153</v>
      </c>
      <c r="AD119" s="2">
        <f t="shared" si="63"/>
        <v>3000</v>
      </c>
      <c r="AE119" s="2">
        <f t="shared" si="64"/>
        <v>0</v>
      </c>
    </row>
    <row r="120" spans="1:31">
      <c r="A120" s="2">
        <v>26300</v>
      </c>
      <c r="B120" s="2">
        <v>1.8</v>
      </c>
      <c r="C120" s="4">
        <v>0.3</v>
      </c>
      <c r="D120" s="2">
        <f t="shared" si="39"/>
        <v>0.22537922691999</v>
      </c>
      <c r="E120" s="2">
        <f t="shared" si="40"/>
        <v>0.187952844862022</v>
      </c>
      <c r="F120" s="2">
        <f t="shared" si="41"/>
        <v>0.167999613888893</v>
      </c>
      <c r="G120" s="2">
        <f t="shared" si="42"/>
        <v>0.15967412337357</v>
      </c>
      <c r="H120" s="2">
        <f t="shared" si="43"/>
        <v>0.158102146430889</v>
      </c>
      <c r="I120" s="2">
        <f t="shared" si="44"/>
        <v>0.158049255841036</v>
      </c>
      <c r="J120" s="2">
        <f t="shared" si="45"/>
        <v>0.158049197254143</v>
      </c>
      <c r="K120" s="2">
        <f t="shared" si="46"/>
        <v>-2.5492131211758</v>
      </c>
      <c r="L120" s="2">
        <f t="shared" si="47"/>
        <v>-2.59483799446574</v>
      </c>
      <c r="M120" s="2">
        <f t="shared" si="48"/>
        <v>0.0053983149216025</v>
      </c>
      <c r="N120" s="2">
        <f t="shared" si="49"/>
        <v>0.00473177570024398</v>
      </c>
      <c r="O120" s="2">
        <f t="shared" si="50"/>
        <v>1.80000000000737</v>
      </c>
      <c r="P120" s="2">
        <f t="shared" si="51"/>
        <v>7.37254701732581e-12</v>
      </c>
      <c r="Q120" s="2">
        <v>3016.35</v>
      </c>
      <c r="R120" s="4">
        <v>0.3</v>
      </c>
      <c r="S120" s="2">
        <f t="shared" si="52"/>
        <v>0.329699722830919</v>
      </c>
      <c r="T120" s="2">
        <f t="shared" si="53"/>
        <v>0.327487043006911</v>
      </c>
      <c r="U120" s="2">
        <f t="shared" si="54"/>
        <v>0.327475618101025</v>
      </c>
      <c r="V120" s="2">
        <f t="shared" si="55"/>
        <v>0.327475617794383</v>
      </c>
      <c r="W120" s="2">
        <f t="shared" si="56"/>
        <v>0.327475617794383</v>
      </c>
      <c r="X120" s="2">
        <f t="shared" si="57"/>
        <v>0.327475617794383</v>
      </c>
      <c r="Y120" s="2">
        <f t="shared" si="58"/>
        <v>0.327475617794383</v>
      </c>
      <c r="Z120" s="2">
        <f t="shared" si="59"/>
        <v>-1.19406683220209</v>
      </c>
      <c r="AA120" s="2">
        <f t="shared" si="60"/>
        <v>-1.28860090024541</v>
      </c>
      <c r="AB120" s="2">
        <f t="shared" si="61"/>
        <v>0.883774086876168</v>
      </c>
      <c r="AC120" s="2">
        <f t="shared" si="62"/>
        <v>0.901231564850679</v>
      </c>
      <c r="AD120" s="2">
        <f t="shared" si="63"/>
        <v>3016.35</v>
      </c>
      <c r="AE120" s="2">
        <f t="shared" si="64"/>
        <v>0</v>
      </c>
    </row>
    <row r="121" spans="1:31">
      <c r="A121" s="2">
        <v>26350</v>
      </c>
      <c r="B121" s="2">
        <v>8</v>
      </c>
      <c r="C121" s="4">
        <v>0.3</v>
      </c>
      <c r="D121" s="2">
        <f t="shared" si="39"/>
        <v>0.232400597610707</v>
      </c>
      <c r="E121" s="2">
        <f t="shared" si="40"/>
        <v>0.20334924764434</v>
      </c>
      <c r="F121" s="2">
        <f t="shared" si="41"/>
        <v>0.194196887228321</v>
      </c>
      <c r="G121" s="2">
        <f t="shared" si="42"/>
        <v>0.19317892718116</v>
      </c>
      <c r="H121" s="2">
        <f t="shared" si="43"/>
        <v>0.193166598257003</v>
      </c>
      <c r="I121" s="2">
        <f t="shared" si="44"/>
        <v>0.19316659645788</v>
      </c>
      <c r="J121" s="2">
        <f t="shared" si="45"/>
        <v>0.19316659645788</v>
      </c>
      <c r="K121" s="2">
        <f t="shared" si="46"/>
        <v>-2.11061518179866</v>
      </c>
      <c r="L121" s="2">
        <f t="shared" si="47"/>
        <v>-2.16637757503036</v>
      </c>
      <c r="M121" s="2">
        <f t="shared" si="48"/>
        <v>0.0174027008355285</v>
      </c>
      <c r="N121" s="2">
        <f t="shared" si="49"/>
        <v>0.0151411730694425</v>
      </c>
      <c r="O121" s="2">
        <f t="shared" si="50"/>
        <v>8</v>
      </c>
      <c r="P121" s="2">
        <f t="shared" si="51"/>
        <v>0</v>
      </c>
    </row>
    <row r="122" spans="1:31">
      <c r="A122" s="2">
        <v>26400</v>
      </c>
      <c r="B122" s="2">
        <v>1.85</v>
      </c>
      <c r="C122" s="4">
        <v>0.3</v>
      </c>
      <c r="D122" s="2">
        <f t="shared" si="39"/>
        <v>0.228172544551044</v>
      </c>
      <c r="E122" s="2">
        <f t="shared" si="40"/>
        <v>0.191576108970349</v>
      </c>
      <c r="F122" s="2">
        <f t="shared" si="41"/>
        <v>0.172182584867927</v>
      </c>
      <c r="G122" s="2">
        <f t="shared" si="42"/>
        <v>0.164410304595215</v>
      </c>
      <c r="H122" s="2">
        <f t="shared" si="43"/>
        <v>0.163084220598861</v>
      </c>
      <c r="I122" s="2">
        <f t="shared" si="44"/>
        <v>0.163047826194477</v>
      </c>
      <c r="J122" s="2">
        <f t="shared" si="45"/>
        <v>0.163047799274616</v>
      </c>
      <c r="K122" s="2">
        <f t="shared" si="46"/>
        <v>-2.55027012782598</v>
      </c>
      <c r="L122" s="2">
        <f t="shared" si="47"/>
        <v>-2.59733797322697</v>
      </c>
      <c r="M122" s="2">
        <f t="shared" si="48"/>
        <v>0.0053819740925714</v>
      </c>
      <c r="N122" s="2">
        <f t="shared" si="49"/>
        <v>0.00469747162815744</v>
      </c>
      <c r="O122" s="2">
        <f t="shared" si="50"/>
        <v>1.8500000000016</v>
      </c>
      <c r="P122" s="2">
        <f t="shared" si="51"/>
        <v>1.60005342308978e-12</v>
      </c>
      <c r="Q122" s="2">
        <v>3030</v>
      </c>
      <c r="R122" s="4">
        <v>0.3</v>
      </c>
      <c r="S122" s="2">
        <f>IFERROR(MEDIAN(0.0001,5,R122-((A122*EXP(-$B$5*$B$4)*NORMSDIST(-(((LN($B$6/A122)+($B$5+R122^2/2)*$B$4)/(R122*SQRT($B$4))-R122*SQRT($B$4))))-$B$6*NORMSDIST(-((LN($B$6/A122)+($B$5+R122^2/2)*$B$4)/(R122*SQRT($B$4)))))-Q122)/($B$6*SQRT($B$4)*NORMDIST((LN($B$6/A122)+($B$5+R122^2/2)*$B$4)/(R122*SQRT($B$4)),0,1,FALSE()))),R122)</f>
        <v>0.258448801863552</v>
      </c>
      <c r="T122" s="2">
        <f>IFERROR(MEDIAN(0.0001,5,S122-((A122*EXP(-$B$5*$B$4)*NORMSDIST(-(((LN($B$6/A122)+($B$5+S122^2/2)*$B$4)/(S122*SQRT($B$4))-S122*SQRT($B$4))))-$B$6*NORMSDIST(-((LN($B$6/A122)+($B$5+S122^2/2)*$B$4)/(S122*SQRT($B$4)))))-Q122)/($B$6*SQRT($B$4)*NORMDIST((LN($B$6/A122)+($B$5+S122^2/2)*$B$4)/(S122*SQRT($B$4)),0,1,FALSE()))),S122)</f>
        <v>0.25019881005569</v>
      </c>
      <c r="U122" s="2">
        <f>IFERROR(MEDIAN(0.0001,5,T122-((A122*EXP(-$B$5*$B$4)*NORMSDIST(-(((LN($B$6/A122)+($B$5+T122^2/2)*$B$4)/(T122*SQRT($B$4))-T122*SQRT($B$4))))-$B$6*NORMSDIST(-((LN($B$6/A122)+($B$5+T122^2/2)*$B$4)/(T122*SQRT($B$4)))))-Q122)/($B$6*SQRT($B$4)*NORMDIST((LN($B$6/A122)+($B$5+T122^2/2)*$B$4)/(T122*SQRT($B$4)),0,1,FALSE()))),T122)</f>
        <v>0.249818468491197</v>
      </c>
      <c r="V122" s="2">
        <f>IFERROR(MEDIAN(0.0001,5,U122-((A122*EXP(-$B$5*$B$4)*NORMSDIST(-(((LN($B$6/A122)+($B$5+U122^2/2)*$B$4)/(U122*SQRT($B$4))-U122*SQRT($B$4))))-$B$6*NORMSDIST(-((LN($B$6/A122)+($B$5+U122^2/2)*$B$4)/(U122*SQRT($B$4)))))-Q122)/($B$6*SQRT($B$4)*NORMDIST((LN($B$6/A122)+($B$5+U122^2/2)*$B$4)/(U122*SQRT($B$4)),0,1,FALSE()))),U122)</f>
        <v>0.249817652015327</v>
      </c>
      <c r="W122" s="2">
        <f>IFERROR(MEDIAN(0.0001,5,V122-((A122*EXP(-$B$5*$B$4)*NORMSDIST(-(((LN($B$6/A122)+($B$5+V122^2/2)*$B$4)/(V122*SQRT($B$4))-V122*SQRT($B$4))))-$B$6*NORMSDIST(-((LN($B$6/A122)+($B$5+V122^2/2)*$B$4)/(V122*SQRT($B$4)))))-Q122)/($B$6*SQRT($B$4)*NORMDIST((LN($B$6/A122)+($B$5+V122^2/2)*$B$4)/(V122*SQRT($B$4)),0,1,FALSE()))),V122)</f>
        <v>0.249817652011562</v>
      </c>
      <c r="X122" s="2">
        <f>IFERROR(MEDIAN(0.0001,5,W122-((A122*EXP(-$B$5*$B$4)*NORMSDIST(-(((LN($B$6/A122)+($B$5+W122^2/2)*$B$4)/(W122*SQRT($B$4))-W122*SQRT($B$4))))-$B$6*NORMSDIST(-((LN($B$6/A122)+($B$5+W122^2/2)*$B$4)/(W122*SQRT($B$4)))))-Q122)/($B$6*SQRT($B$4)*NORMDIST((LN($B$6/A122)+($B$5+W122^2/2)*$B$4)/(W122*SQRT($B$4)),0,1,FALSE()))),W122)</f>
        <v>0.249817652011562</v>
      </c>
      <c r="Y122" s="2">
        <f>IFERROR(MEDIAN(0.0001,5,X122-((A122*EXP(-$B$5*$B$4)*NORMSDIST(-(((LN($B$6/A122)+($B$5+X122^2/2)*$B$4)/(X122*SQRT($B$4))-X122*SQRT($B$4))))-$B$6*NORMSDIST(-((LN($B$6/A122)+($B$5+X122^2/2)*$B$4)/(X122*SQRT($B$4)))))-Q122)/($B$6*SQRT($B$4)*NORMDIST((LN($B$6/A122)+($B$5+X122^2/2)*$B$4)/(X122*SQRT($B$4)),0,1,FALSE()))),X122)</f>
        <v>0.249817652011562</v>
      </c>
      <c r="Z122" s="2">
        <f>(LN($B$6/A122)+($B$5+Y122^2/2)*$B$4)/(Y122*SQRT($B$4))</f>
        <v>-1.64377953268303</v>
      </c>
      <c r="AA122" s="2">
        <f>Z122-Y122*SQRT($B$4)</f>
        <v>-1.71589567700162</v>
      </c>
      <c r="AB122" s="2">
        <f>NORMSDIST(-Z122)</f>
        <v>0.949889124706715</v>
      </c>
      <c r="AC122" s="2">
        <f>NORMSDIST(-AA122)</f>
        <v>0.95690943095055</v>
      </c>
      <c r="AD122" s="2">
        <f>A122*EXP(-$B$5*$B$4)*AC122-$B$6*AB122</f>
        <v>3030</v>
      </c>
      <c r="AE122" s="2">
        <f>AD122-Q122</f>
        <v>0</v>
      </c>
    </row>
    <row r="123" spans="1:31">
      <c r="A123" s="2">
        <v>26450</v>
      </c>
      <c r="B123" s="2">
        <v>8.15</v>
      </c>
      <c r="C123" s="4">
        <v>0.3</v>
      </c>
      <c r="D123" s="2">
        <f t="shared" si="39"/>
        <v>0.235572246125983</v>
      </c>
      <c r="E123" s="2">
        <f t="shared" si="40"/>
        <v>0.207959222543844</v>
      </c>
      <c r="F123" s="2">
        <f t="shared" si="41"/>
        <v>0.199702618107006</v>
      </c>
      <c r="G123" s="2">
        <f t="shared" si="42"/>
        <v>0.198894771022709</v>
      </c>
      <c r="H123" s="2">
        <f t="shared" si="43"/>
        <v>0.198887206624878</v>
      </c>
      <c r="I123" s="2">
        <f t="shared" si="44"/>
        <v>0.198887205964367</v>
      </c>
      <c r="J123" s="2">
        <f t="shared" si="45"/>
        <v>0.198887205964366</v>
      </c>
      <c r="K123" s="2">
        <f t="shared" si="46"/>
        <v>-2.11425487828664</v>
      </c>
      <c r="L123" s="2">
        <f t="shared" si="47"/>
        <v>-2.17166866923759</v>
      </c>
      <c r="M123" s="2">
        <f t="shared" si="48"/>
        <v>0.0172467519846354</v>
      </c>
      <c r="N123" s="2">
        <f t="shared" si="49"/>
        <v>0.014940331681069</v>
      </c>
      <c r="O123" s="2">
        <f t="shared" si="50"/>
        <v>8.14999999999964</v>
      </c>
      <c r="P123" s="2">
        <f t="shared" si="51"/>
        <v>-3.64153152077051e-13</v>
      </c>
    </row>
    <row r="124" spans="1:31">
      <c r="A124" s="2">
        <v>26500</v>
      </c>
      <c r="B124" s="2">
        <v>1.45</v>
      </c>
      <c r="C124" s="4">
        <v>0.3</v>
      </c>
      <c r="D124" s="2">
        <f t="shared" si="39"/>
        <v>0.23040002552804</v>
      </c>
      <c r="E124" s="2">
        <f t="shared" si="40"/>
        <v>0.193953004042665</v>
      </c>
      <c r="F124" s="2">
        <f t="shared" si="41"/>
        <v>0.173892524072412</v>
      </c>
      <c r="G124" s="2">
        <f t="shared" si="42"/>
        <v>0.165125264221645</v>
      </c>
      <c r="H124" s="2">
        <f t="shared" si="43"/>
        <v>0.163312053435929</v>
      </c>
      <c r="I124" s="2">
        <f t="shared" si="44"/>
        <v>0.163239282107814</v>
      </c>
      <c r="J124" s="2">
        <f t="shared" si="45"/>
        <v>0.163239167984169</v>
      </c>
      <c r="K124" s="2">
        <f t="shared" si="46"/>
        <v>-2.62745597574203</v>
      </c>
      <c r="L124" s="2">
        <f t="shared" si="47"/>
        <v>-2.67457906453101</v>
      </c>
      <c r="M124" s="2">
        <f t="shared" si="48"/>
        <v>0.00430129863109749</v>
      </c>
      <c r="N124" s="2">
        <f t="shared" si="49"/>
        <v>0.00374115653952598</v>
      </c>
      <c r="O124" s="2">
        <f t="shared" si="50"/>
        <v>1.45000000002376</v>
      </c>
      <c r="P124" s="2">
        <f t="shared" si="51"/>
        <v>2.37634356636818e-11</v>
      </c>
      <c r="Q124" s="2">
        <v>3204</v>
      </c>
      <c r="R124" s="4">
        <v>0.3</v>
      </c>
      <c r="S124" s="2">
        <f>IFERROR(MEDIAN(0.0001,5,R124-((A124*EXP(-$B$5*$B$4)*NORMSDIST(-(((LN($B$6/A124)+($B$5+R124^2/2)*$B$4)/(R124*SQRT($B$4))-R124*SQRT($B$4))))-$B$6*NORMSDIST(-((LN($B$6/A124)+($B$5+R124^2/2)*$B$4)/(R124*SQRT($B$4)))))-Q124)/($B$6*SQRT($B$4)*NORMDIST((LN($B$6/A124)+($B$5+R124^2/2)*$B$4)/(R124*SQRT($B$4)),0,1,FALSE()))),R124)</f>
        <v>0.337004795683194</v>
      </c>
      <c r="T124" s="2">
        <f>IFERROR(MEDIAN(0.0001,5,S124-((A124*EXP(-$B$5*$B$4)*NORMSDIST(-(((LN($B$6/A124)+($B$5+S124^2/2)*$B$4)/(S124*SQRT($B$4))-S124*SQRT($B$4))))-$B$6*NORMSDIST(-((LN($B$6/A124)+($B$5+S124^2/2)*$B$4)/(S124*SQRT($B$4)))))-Q124)/($B$6*SQRT($B$4)*NORMDIST((LN($B$6/A124)+($B$5+S124^2/2)*$B$4)/(S124*SQRT($B$4)),0,1,FALSE()))),S124)</f>
        <v>0.333334830761804</v>
      </c>
      <c r="U124" s="2">
        <f>IFERROR(MEDIAN(0.0001,5,T124-((A124*EXP(-$B$5*$B$4)*NORMSDIST(-(((LN($B$6/A124)+($B$5+T124^2/2)*$B$4)/(T124*SQRT($B$4))-T124*SQRT($B$4))))-$B$6*NORMSDIST(-((LN($B$6/A124)+($B$5+T124^2/2)*$B$4)/(T124*SQRT($B$4)))))-Q124)/($B$6*SQRT($B$4)*NORMDIST((LN($B$6/A124)+($B$5+T124^2/2)*$B$4)/(T124*SQRT($B$4)),0,1,FALSE()))),T124)</f>
        <v>0.333301157179357</v>
      </c>
      <c r="V124" s="2">
        <f>IFERROR(MEDIAN(0.0001,5,U124-((A124*EXP(-$B$5*$B$4)*NORMSDIST(-(((LN($B$6/A124)+($B$5+U124^2/2)*$B$4)/(U124*SQRT($B$4))-U124*SQRT($B$4))))-$B$6*NORMSDIST(-((LN($B$6/A124)+($B$5+U124^2/2)*$B$4)/(U124*SQRT($B$4)))))-Q124)/($B$6*SQRT($B$4)*NORMDIST((LN($B$6/A124)+($B$5+U124^2/2)*$B$4)/(U124*SQRT($B$4)),0,1,FALSE()))),U124)</f>
        <v>0.333301154315991</v>
      </c>
      <c r="W124" s="2">
        <f>IFERROR(MEDIAN(0.0001,5,V124-((A124*EXP(-$B$5*$B$4)*NORMSDIST(-(((LN($B$6/A124)+($B$5+V124^2/2)*$B$4)/(V124*SQRT($B$4))-V124*SQRT($B$4))))-$B$6*NORMSDIST(-((LN($B$6/A124)+($B$5+V124^2/2)*$B$4)/(V124*SQRT($B$4)))))-Q124)/($B$6*SQRT($B$4)*NORMDIST((LN($B$6/A124)+($B$5+V124^2/2)*$B$4)/(V124*SQRT($B$4)),0,1,FALSE()))),V124)</f>
        <v>0.333301154315991</v>
      </c>
      <c r="X124" s="2">
        <f>IFERROR(MEDIAN(0.0001,5,W124-((A124*EXP(-$B$5*$B$4)*NORMSDIST(-(((LN($B$6/A124)+($B$5+W124^2/2)*$B$4)/(W124*SQRT($B$4))-W124*SQRT($B$4))))-$B$6*NORMSDIST(-((LN($B$6/A124)+($B$5+W124^2/2)*$B$4)/(W124*SQRT($B$4)))))-Q124)/($B$6*SQRT($B$4)*NORMDIST((LN($B$6/A124)+($B$5+W124^2/2)*$B$4)/(W124*SQRT($B$4)),0,1,FALSE()))),W124)</f>
        <v>0.333301154315991</v>
      </c>
      <c r="Y124" s="2">
        <f>IFERROR(MEDIAN(0.0001,5,X124-((A124*EXP(-$B$5*$B$4)*NORMSDIST(-(((LN($B$6/A124)+($B$5+X124^2/2)*$B$4)/(X124*SQRT($B$4))-X124*SQRT($B$4))))-$B$6*NORMSDIST(-((LN($B$6/A124)+($B$5+X124^2/2)*$B$4)/(X124*SQRT($B$4)))))-Q124)/($B$6*SQRT($B$4)*NORMDIST((LN($B$6/A124)+($B$5+X124^2/2)*$B$4)/(X124*SQRT($B$4)),0,1,FALSE()))),X124)</f>
        <v>0.333301154315991</v>
      </c>
      <c r="Z124" s="2">
        <f>(LN($B$6/A124)+($B$5+Y124^2/2)*$B$4)/(Y124*SQRT($B$4))</f>
        <v>-1.2502671464015</v>
      </c>
      <c r="AA124" s="2">
        <f>Z124-Y124*SQRT($B$4)</f>
        <v>-1.34648290198427</v>
      </c>
      <c r="AB124" s="2">
        <f>NORMSDIST(-Z124)</f>
        <v>0.894399012232399</v>
      </c>
      <c r="AC124" s="2">
        <f>NORMSDIST(-AA124)</f>
        <v>0.910926584566995</v>
      </c>
      <c r="AD124" s="2">
        <f>A124*EXP(-$B$5*$B$4)*AC124-$B$6*AB124</f>
        <v>3204</v>
      </c>
      <c r="AE124" s="2">
        <f>AD124-Q124</f>
        <v>0</v>
      </c>
    </row>
    <row r="125" spans="1:31">
      <c r="A125" s="2">
        <v>26550</v>
      </c>
      <c r="B125" s="2">
        <v>1.9</v>
      </c>
      <c r="C125" s="4">
        <v>0.3</v>
      </c>
      <c r="D125" s="2">
        <f t="shared" si="39"/>
        <v>0.232117392709077</v>
      </c>
      <c r="E125" s="2">
        <f t="shared" si="40"/>
        <v>0.196793990974826</v>
      </c>
      <c r="F125" s="2">
        <f t="shared" si="41"/>
        <v>0.178278729490531</v>
      </c>
      <c r="G125" s="2">
        <f t="shared" si="42"/>
        <v>0.171308167373934</v>
      </c>
      <c r="H125" s="2">
        <f t="shared" si="43"/>
        <v>0.170287097504056</v>
      </c>
      <c r="I125" s="2">
        <f t="shared" si="44"/>
        <v>0.170266431267834</v>
      </c>
      <c r="J125" s="2">
        <f t="shared" si="45"/>
        <v>0.170266422918014</v>
      </c>
      <c r="K125" s="2">
        <f t="shared" si="46"/>
        <v>-2.55537955581465</v>
      </c>
      <c r="L125" s="2">
        <f t="shared" si="47"/>
        <v>-2.60453123836749</v>
      </c>
      <c r="M125" s="2">
        <f t="shared" si="48"/>
        <v>0.0053036031781741</v>
      </c>
      <c r="N125" s="2">
        <f t="shared" si="49"/>
        <v>0.00460000169487799</v>
      </c>
      <c r="O125" s="2">
        <f t="shared" si="50"/>
        <v>1.90000000000018</v>
      </c>
      <c r="P125" s="2">
        <f t="shared" si="51"/>
        <v>1.76303416310475e-13</v>
      </c>
    </row>
    <row r="126" spans="1:31">
      <c r="A126" s="2">
        <v>26600</v>
      </c>
      <c r="B126" s="2">
        <v>2.6</v>
      </c>
      <c r="C126" s="4">
        <v>0.3</v>
      </c>
      <c r="D126" s="2">
        <f t="shared" si="39"/>
        <v>0.234099905280846</v>
      </c>
      <c r="E126" s="2">
        <f t="shared" si="40"/>
        <v>0.200355860758079</v>
      </c>
      <c r="F126" s="2">
        <f t="shared" si="41"/>
        <v>0.184014707956249</v>
      </c>
      <c r="G126" s="2">
        <f t="shared" si="42"/>
        <v>0.179093526765823</v>
      </c>
      <c r="H126" s="2">
        <f t="shared" si="43"/>
        <v>0.178650575200438</v>
      </c>
      <c r="I126" s="2">
        <f t="shared" si="44"/>
        <v>0.17864713800812</v>
      </c>
      <c r="J126" s="2">
        <f t="shared" si="45"/>
        <v>0.178647137802229</v>
      </c>
      <c r="K126" s="2">
        <f t="shared" si="46"/>
        <v>-2.46962181589363</v>
      </c>
      <c r="L126" s="2">
        <f t="shared" si="47"/>
        <v>-2.52119280244367</v>
      </c>
      <c r="M126" s="2">
        <f t="shared" si="48"/>
        <v>0.00676279794193626</v>
      </c>
      <c r="N126" s="2">
        <f t="shared" si="49"/>
        <v>0.00584788743758914</v>
      </c>
      <c r="O126" s="2">
        <f t="shared" si="50"/>
        <v>2.59999999999997</v>
      </c>
      <c r="P126" s="2">
        <f t="shared" si="51"/>
        <v>-3.41948691584548e-14</v>
      </c>
      <c r="Q126" s="2">
        <v>3029</v>
      </c>
      <c r="R126" s="4">
        <v>0.3</v>
      </c>
      <c r="S126" s="2">
        <f>IFERROR(MEDIAN(0.0001,5,R126-((A126*EXP(-$B$5*$B$4)*NORMSDIST(-(((LN($B$6/A126)+($B$5+R126^2/2)*$B$4)/(R126*SQRT($B$4))-R126*SQRT($B$4))))-$B$6*NORMSDIST(-((LN($B$6/A126)+($B$5+R126^2/2)*$B$4)/(R126*SQRT($B$4)))))-Q126)/($B$6*SQRT($B$4)*NORMDIST((LN($B$6/A126)+($B$5+R126^2/2)*$B$4)/(R126*SQRT($B$4)),0,1,FALSE()))),R126)</f>
        <v>0.0562304329573994</v>
      </c>
      <c r="T126" s="2">
        <f>IFERROR(MEDIAN(0.0001,5,S126-((A126*EXP(-$B$5*$B$4)*NORMSDIST(-(((LN($B$6/A126)+($B$5+S126^2/2)*$B$4)/(S126*SQRT($B$4))-S126*SQRT($B$4))))-$B$6*NORMSDIST(-((LN($B$6/A126)+($B$5+S126^2/2)*$B$4)/(S126*SQRT($B$4)))))-Q126)/($B$6*SQRT($B$4)*NORMDIST((LN($B$6/A126)+($B$5+S126^2/2)*$B$4)/(S126*SQRT($B$4)),0,1,FALSE()))),S126)</f>
        <v>0.0001</v>
      </c>
      <c r="U126" s="2">
        <f>IFERROR(MEDIAN(0.0001,5,T126-((A126*EXP(-$B$5*$B$4)*NORMSDIST(-(((LN($B$6/A126)+($B$5+T126^2/2)*$B$4)/(T126*SQRT($B$4))-T126*SQRT($B$4))))-$B$6*NORMSDIST(-((LN($B$6/A126)+($B$5+T126^2/2)*$B$4)/(T126*SQRT($B$4)))))-Q126)/($B$6*SQRT($B$4)*NORMDIST((LN($B$6/A126)+($B$5+T126^2/2)*$B$4)/(T126*SQRT($B$4)),0,1,FALSE()))),T126)</f>
        <v>0.0001</v>
      </c>
      <c r="V126" s="2">
        <f>IFERROR(MEDIAN(0.0001,5,U126-((A126*EXP(-$B$5*$B$4)*NORMSDIST(-(((LN($B$6/A126)+($B$5+U126^2/2)*$B$4)/(U126*SQRT($B$4))-U126*SQRT($B$4))))-$B$6*NORMSDIST(-((LN($B$6/A126)+($B$5+U126^2/2)*$B$4)/(U126*SQRT($B$4)))))-Q126)/($B$6*SQRT($B$4)*NORMDIST((LN($B$6/A126)+($B$5+U126^2/2)*$B$4)/(U126*SQRT($B$4)),0,1,FALSE()))),U126)</f>
        <v>0.0001</v>
      </c>
      <c r="W126" s="2">
        <f>IFERROR(MEDIAN(0.0001,5,V126-((A126*EXP(-$B$5*$B$4)*NORMSDIST(-(((LN($B$6/A126)+($B$5+V126^2/2)*$B$4)/(V126*SQRT($B$4))-V126*SQRT($B$4))))-$B$6*NORMSDIST(-((LN($B$6/A126)+($B$5+V126^2/2)*$B$4)/(V126*SQRT($B$4)))))-Q126)/($B$6*SQRT($B$4)*NORMDIST((LN($B$6/A126)+($B$5+V126^2/2)*$B$4)/(V126*SQRT($B$4)),0,1,FALSE()))),V126)</f>
        <v>0.0001</v>
      </c>
      <c r="X126" s="2">
        <f>IFERROR(MEDIAN(0.0001,5,W126-((A126*EXP(-$B$5*$B$4)*NORMSDIST(-(((LN($B$6/A126)+($B$5+W126^2/2)*$B$4)/(W126*SQRT($B$4))-W126*SQRT($B$4))))-$B$6*NORMSDIST(-((LN($B$6/A126)+($B$5+W126^2/2)*$B$4)/(W126*SQRT($B$4)))))-Q126)/($B$6*SQRT($B$4)*NORMDIST((LN($B$6/A126)+($B$5+W126^2/2)*$B$4)/(W126*SQRT($B$4)),0,1,FALSE()))),W126)</f>
        <v>0.0001</v>
      </c>
      <c r="Y126" s="2">
        <f>IFERROR(MEDIAN(0.0001,5,X126-((A126*EXP(-$B$5*$B$4)*NORMSDIST(-(((LN($B$6/A126)+($B$5+X126^2/2)*$B$4)/(X126*SQRT($B$4))-X126*SQRT($B$4))))-$B$6*NORMSDIST(-((LN($B$6/A126)+($B$5+X126^2/2)*$B$4)/(X126*SQRT($B$4)))))-Q126)/($B$6*SQRT($B$4)*NORMDIST((LN($B$6/A126)+($B$5+X126^2/2)*$B$4)/(X126*SQRT($B$4)),0,1,FALSE()))),X126)</f>
        <v>0.0001</v>
      </c>
      <c r="Z126" s="2">
        <f>(LN($B$6/A126)+($B$5+Y126^2/2)*$B$4)/(Y126*SQRT($B$4))</f>
        <v>-4457.97371990366</v>
      </c>
      <c r="AA126" s="2">
        <f>Z126-Y126*SQRT($B$4)</f>
        <v>-4457.97374877118</v>
      </c>
      <c r="AB126" s="2">
        <f>NORMSDIST(-Z126)</f>
        <v>1</v>
      </c>
      <c r="AC126" s="2">
        <f>NORMSDIST(-AA126)</f>
        <v>1</v>
      </c>
      <c r="AD126" s="2">
        <f>A126*EXP(-$B$5*$B$4)*AC126-$B$6*AB126</f>
        <v>3194.70618874002</v>
      </c>
      <c r="AE126" s="2">
        <f>AD126-Q126</f>
        <v>165.706188740023</v>
      </c>
    </row>
    <row r="127" spans="1:31">
      <c r="A127" s="2">
        <v>26650</v>
      </c>
      <c r="B127" s="2">
        <v>6.95</v>
      </c>
      <c r="C127" s="4">
        <v>0.3</v>
      </c>
      <c r="D127" s="2">
        <f t="shared" si="39"/>
        <v>0.240084234812887</v>
      </c>
      <c r="E127" s="2">
        <f t="shared" si="40"/>
        <v>0.213517303539312</v>
      </c>
      <c r="F127" s="2">
        <f t="shared" si="41"/>
        <v>0.205416574393981</v>
      </c>
      <c r="G127" s="2">
        <f t="shared" si="42"/>
        <v>0.2046071755755</v>
      </c>
      <c r="H127" s="2">
        <f t="shared" si="43"/>
        <v>0.204599315015344</v>
      </c>
      <c r="I127" s="2">
        <f t="shared" si="44"/>
        <v>0.204599314277498</v>
      </c>
      <c r="J127" s="2">
        <f t="shared" si="45"/>
        <v>0.204599314277497</v>
      </c>
      <c r="K127" s="2">
        <f t="shared" si="46"/>
        <v>-2.18114432381812</v>
      </c>
      <c r="L127" s="2">
        <f t="shared" si="47"/>
        <v>-2.24020705840518</v>
      </c>
      <c r="M127" s="2">
        <f t="shared" si="48"/>
        <v>0.0145863716713019</v>
      </c>
      <c r="N127" s="2">
        <f t="shared" si="49"/>
        <v>0.0125387418235935</v>
      </c>
      <c r="O127" s="2">
        <f t="shared" si="50"/>
        <v>6.94999999999993</v>
      </c>
      <c r="P127" s="2">
        <f t="shared" si="51"/>
        <v>-6.83897383169096e-14</v>
      </c>
    </row>
    <row r="128" spans="1:31">
      <c r="A128" s="2">
        <v>26700</v>
      </c>
      <c r="B128" s="2">
        <v>2.85</v>
      </c>
      <c r="C128" s="4">
        <v>0.3</v>
      </c>
      <c r="D128" s="2">
        <f t="shared" si="39"/>
        <v>0.236836987329031</v>
      </c>
      <c r="E128" s="2">
        <f t="shared" si="40"/>
        <v>0.20445385875313</v>
      </c>
      <c r="F128" s="2">
        <f t="shared" si="41"/>
        <v>0.189422800495751</v>
      </c>
      <c r="G128" s="2">
        <f t="shared" si="42"/>
        <v>0.185433307720203</v>
      </c>
      <c r="H128" s="2">
        <f t="shared" si="43"/>
        <v>0.185159048027264</v>
      </c>
      <c r="I128" s="2">
        <f t="shared" si="44"/>
        <v>0.18515779722042</v>
      </c>
      <c r="J128" s="2">
        <f t="shared" si="45"/>
        <v>0.185157797194482</v>
      </c>
      <c r="K128" s="2">
        <f t="shared" si="46"/>
        <v>-2.45113906466003</v>
      </c>
      <c r="L128" s="2">
        <f t="shared" si="47"/>
        <v>-2.50458951668643</v>
      </c>
      <c r="M128" s="2">
        <f t="shared" si="48"/>
        <v>0.00712024621096653</v>
      </c>
      <c r="N128" s="2">
        <f t="shared" si="49"/>
        <v>0.00612967893090054</v>
      </c>
      <c r="O128" s="2">
        <f t="shared" si="50"/>
        <v>2.84999999999991</v>
      </c>
      <c r="P128" s="2">
        <f t="shared" si="51"/>
        <v>-9.10382880192628e-14</v>
      </c>
      <c r="Q128" s="2">
        <v>3424.95</v>
      </c>
      <c r="R128" s="4">
        <v>0.3</v>
      </c>
      <c r="S128" s="2">
        <f>IFERROR(MEDIAN(0.0001,5,R128-((A128*EXP(-$B$5*$B$4)*NORMSDIST(-(((LN($B$6/A128)+($B$5+R128^2/2)*$B$4)/(R128*SQRT($B$4))-R128*SQRT($B$4))))-$B$6*NORMSDIST(-((LN($B$6/A128)+($B$5+R128^2/2)*$B$4)/(R128*SQRT($B$4)))))-Q128)/($B$6*SQRT($B$4)*NORMDIST((LN($B$6/A128)+($B$5+R128^2/2)*$B$4)/(R128*SQRT($B$4)),0,1,FALSE()))),R128)</f>
        <v>0.380896694148909</v>
      </c>
      <c r="T128" s="2">
        <f>IFERROR(MEDIAN(0.0001,5,S128-((A128*EXP(-$B$5*$B$4)*NORMSDIST(-(((LN($B$6/A128)+($B$5+S128^2/2)*$B$4)/(S128*SQRT($B$4))-S128*SQRT($B$4))))-$B$6*NORMSDIST(-((LN($B$6/A128)+($B$5+S128^2/2)*$B$4)/(S128*SQRT($B$4)))))-Q128)/($B$6*SQRT($B$4)*NORMDIST((LN($B$6/A128)+($B$5+S128^2/2)*$B$4)/(S128*SQRT($B$4)),0,1,FALSE()))),S128)</f>
        <v>0.365743347703207</v>
      </c>
      <c r="U128" s="2">
        <f>IFERROR(MEDIAN(0.0001,5,T128-((A128*EXP(-$B$5*$B$4)*NORMSDIST(-(((LN($B$6/A128)+($B$5+T128^2/2)*$B$4)/(T128*SQRT($B$4))-T128*SQRT($B$4))))-$B$6*NORMSDIST(-((LN($B$6/A128)+($B$5+T128^2/2)*$B$4)/(T128*SQRT($B$4)))))-Q128)/($B$6*SQRT($B$4)*NORMDIST((LN($B$6/A128)+($B$5+T128^2/2)*$B$4)/(T128*SQRT($B$4)),0,1,FALSE()))),T128)</f>
        <v>0.365269713995035</v>
      </c>
      <c r="V128" s="2">
        <f>IFERROR(MEDIAN(0.0001,5,U128-((A128*EXP(-$B$5*$B$4)*NORMSDIST(-(((LN($B$6/A128)+($B$5+U128^2/2)*$B$4)/(U128*SQRT($B$4))-U128*SQRT($B$4))))-$B$6*NORMSDIST(-((LN($B$6/A128)+($B$5+U128^2/2)*$B$4)/(U128*SQRT($B$4)))))-Q128)/($B$6*SQRT($B$4)*NORMDIST((LN($B$6/A128)+($B$5+U128^2/2)*$B$4)/(U128*SQRT($B$4)),0,1,FALSE()))),U128)</f>
        <v>0.365269230992446</v>
      </c>
      <c r="W128" s="2">
        <f>IFERROR(MEDIAN(0.0001,5,V128-((A128*EXP(-$B$5*$B$4)*NORMSDIST(-(((LN($B$6/A128)+($B$5+V128^2/2)*$B$4)/(V128*SQRT($B$4))-V128*SQRT($B$4))))-$B$6*NORMSDIST(-((LN($B$6/A128)+($B$5+V128^2/2)*$B$4)/(V128*SQRT($B$4)))))-Q128)/($B$6*SQRT($B$4)*NORMDIST((LN($B$6/A128)+($B$5+V128^2/2)*$B$4)/(V128*SQRT($B$4)),0,1,FALSE()))),V128)</f>
        <v>0.365269230991944</v>
      </c>
      <c r="X128" s="2">
        <f>IFERROR(MEDIAN(0.0001,5,W128-((A128*EXP(-$B$5*$B$4)*NORMSDIST(-(((LN($B$6/A128)+($B$5+W128^2/2)*$B$4)/(W128*SQRT($B$4))-W128*SQRT($B$4))))-$B$6*NORMSDIST(-((LN($B$6/A128)+($B$5+W128^2/2)*$B$4)/(W128*SQRT($B$4)))))-Q128)/($B$6*SQRT($B$4)*NORMDIST((LN($B$6/A128)+($B$5+W128^2/2)*$B$4)/(W128*SQRT($B$4)),0,1,FALSE()))),W128)</f>
        <v>0.365269230991941</v>
      </c>
      <c r="Y128" s="2">
        <f>IFERROR(MEDIAN(0.0001,5,X128-((A128*EXP(-$B$5*$B$4)*NORMSDIST(-(((LN($B$6/A128)+($B$5+X128^2/2)*$B$4)/(X128*SQRT($B$4))-X128*SQRT($B$4))))-$B$6*NORMSDIST(-((LN($B$6/A128)+($B$5+X128^2/2)*$B$4)/(X128*SQRT($B$4)))))-Q128)/($B$6*SQRT($B$4)*NORMDIST((LN($B$6/A128)+($B$5+X128^2/2)*$B$4)/(X128*SQRT($B$4)),0,1,FALSE()))),X128)</f>
        <v>0.365269230991943</v>
      </c>
      <c r="Z128" s="2">
        <f>(LN($B$6/A128)+($B$5+Y128^2/2)*$B$4)/(Y128*SQRT($B$4))</f>
        <v>-1.2033264938354</v>
      </c>
      <c r="AA128" s="2">
        <f>Z128-Y128*SQRT($B$4)</f>
        <v>-1.30877063825534</v>
      </c>
      <c r="AB128" s="2">
        <f>NORMSDIST(-Z128)</f>
        <v>0.885574999752535</v>
      </c>
      <c r="AC128" s="2">
        <f>NORMSDIST(-AA128)</f>
        <v>0.904693972168205</v>
      </c>
      <c r="AD128" s="2">
        <f>A128*EXP(-$B$5*$B$4)*AC128-$B$6*AB128</f>
        <v>3424.95</v>
      </c>
      <c r="AE128" s="2">
        <f>AD128-Q128</f>
        <v>0</v>
      </c>
    </row>
    <row r="129" spans="1:31">
      <c r="A129" s="2">
        <v>26750</v>
      </c>
      <c r="B129" s="2">
        <v>6.35</v>
      </c>
      <c r="C129" s="4">
        <v>0.3</v>
      </c>
      <c r="D129" s="2">
        <f t="shared" si="39"/>
        <v>0.242109296643194</v>
      </c>
      <c r="E129" s="2">
        <f t="shared" si="40"/>
        <v>0.215984939285525</v>
      </c>
      <c r="F129" s="2">
        <f t="shared" si="41"/>
        <v>0.207901899208964</v>
      </c>
      <c r="G129" s="2">
        <f t="shared" si="42"/>
        <v>0.207076528691606</v>
      </c>
      <c r="H129" s="2">
        <f t="shared" si="43"/>
        <v>0.207068181056015</v>
      </c>
      <c r="I129" s="2">
        <f t="shared" si="44"/>
        <v>0.207068180206586</v>
      </c>
      <c r="J129" s="2">
        <f t="shared" si="45"/>
        <v>0.207068180206586</v>
      </c>
      <c r="K129" s="2">
        <f t="shared" si="46"/>
        <v>-2.21708672621966</v>
      </c>
      <c r="L129" s="2">
        <f t="shared" si="47"/>
        <v>-2.2768621610111</v>
      </c>
      <c r="M129" s="2">
        <f t="shared" si="48"/>
        <v>0.0133085828401272</v>
      </c>
      <c r="N129" s="2">
        <f t="shared" si="49"/>
        <v>0.0113972290500145</v>
      </c>
      <c r="O129" s="2">
        <f t="shared" si="50"/>
        <v>6.35000000000014</v>
      </c>
      <c r="P129" s="2">
        <f t="shared" si="51"/>
        <v>1.36779476633819e-13</v>
      </c>
    </row>
    <row r="130" spans="1:31">
      <c r="A130" s="2">
        <v>26800</v>
      </c>
      <c r="B130" s="2">
        <v>6.25</v>
      </c>
      <c r="C130" s="4">
        <v>0.3</v>
      </c>
      <c r="D130" s="2">
        <f t="shared" si="39"/>
        <v>0.243304463219898</v>
      </c>
      <c r="E130" s="2">
        <f t="shared" si="40"/>
        <v>0.217689131685572</v>
      </c>
      <c r="F130" s="2">
        <f t="shared" si="41"/>
        <v>0.20987076587569</v>
      </c>
      <c r="G130" s="2">
        <f t="shared" si="42"/>
        <v>0.209099677064849</v>
      </c>
      <c r="H130" s="2">
        <f t="shared" si="43"/>
        <v>0.209092404804858</v>
      </c>
      <c r="I130" s="2">
        <f t="shared" si="44"/>
        <v>0.209092404161203</v>
      </c>
      <c r="J130" s="2">
        <f t="shared" si="45"/>
        <v>0.209092404161204</v>
      </c>
      <c r="K130" s="2">
        <f t="shared" si="46"/>
        <v>-2.22597964663992</v>
      </c>
      <c r="L130" s="2">
        <f t="shared" si="47"/>
        <v>-2.2863394245539</v>
      </c>
      <c r="M130" s="2">
        <f t="shared" si="48"/>
        <v>0.0130077723801131</v>
      </c>
      <c r="N130" s="2">
        <f t="shared" si="49"/>
        <v>0.0111172045735779</v>
      </c>
      <c r="O130" s="2">
        <f t="shared" si="50"/>
        <v>6.24999999999983</v>
      </c>
      <c r="P130" s="2">
        <f t="shared" si="51"/>
        <v>-1.70530256582424e-13</v>
      </c>
      <c r="Q130" s="2">
        <v>3550</v>
      </c>
      <c r="R130" s="4">
        <v>0.3</v>
      </c>
      <c r="S130" s="2">
        <f>IFERROR(MEDIAN(0.0001,5,R130-((A130*EXP(-$B$5*$B$4)*NORMSDIST(-(((LN($B$6/A130)+($B$5+R130^2/2)*$B$4)/(R130*SQRT($B$4))-R130*SQRT($B$4))))-$B$6*NORMSDIST(-((LN($B$6/A130)+($B$5+R130^2/2)*$B$4)/(R130*SQRT($B$4)))))-Q130)/($B$6*SQRT($B$4)*NORMDIST((LN($B$6/A130)+($B$5+R130^2/2)*$B$4)/(R130*SQRT($B$4)),0,1,FALSE()))),R130)</f>
        <v>0.42371843639352</v>
      </c>
      <c r="T130" s="2">
        <f>IFERROR(MEDIAN(0.0001,5,S130-((A130*EXP(-$B$5*$B$4)*NORMSDIST(-(((LN($B$6/A130)+($B$5+S130^2/2)*$B$4)/(S130*SQRT($B$4))-S130*SQRT($B$4))))-$B$6*NORMSDIST(-((LN($B$6/A130)+($B$5+S130^2/2)*$B$4)/(S130*SQRT($B$4)))))-Q130)/($B$6*SQRT($B$4)*NORMDIST((LN($B$6/A130)+($B$5+S130^2/2)*$B$4)/(S130*SQRT($B$4)),0,1,FALSE()))),S130)</f>
        <v>0.393254113503508</v>
      </c>
      <c r="U130" s="2">
        <f>IFERROR(MEDIAN(0.0001,5,T130-((A130*EXP(-$B$5*$B$4)*NORMSDIST(-(((LN($B$6/A130)+($B$5+T130^2/2)*$B$4)/(T130*SQRT($B$4))-T130*SQRT($B$4))))-$B$6*NORMSDIST(-((LN($B$6/A130)+($B$5+T130^2/2)*$B$4)/(T130*SQRT($B$4)))))-Q130)/($B$6*SQRT($B$4)*NORMDIST((LN($B$6/A130)+($B$5+T130^2/2)*$B$4)/(T130*SQRT($B$4)),0,1,FALSE()))),T130)</f>
        <v>0.391694049120442</v>
      </c>
      <c r="V130" s="2">
        <f>IFERROR(MEDIAN(0.0001,5,U130-((A130*EXP(-$B$5*$B$4)*NORMSDIST(-(((LN($B$6/A130)+($B$5+U130^2/2)*$B$4)/(U130*SQRT($B$4))-U130*SQRT($B$4))))-$B$6*NORMSDIST(-((LN($B$6/A130)+($B$5+U130^2/2)*$B$4)/(U130*SQRT($B$4)))))-Q130)/($B$6*SQRT($B$4)*NORMDIST((LN($B$6/A130)+($B$5+U130^2/2)*$B$4)/(U130*SQRT($B$4)),0,1,FALSE()))),U130)</f>
        <v>0.391689571269566</v>
      </c>
      <c r="W130" s="2">
        <f>IFERROR(MEDIAN(0.0001,5,V130-((A130*EXP(-$B$5*$B$4)*NORMSDIST(-(((LN($B$6/A130)+($B$5+V130^2/2)*$B$4)/(V130*SQRT($B$4))-V130*SQRT($B$4))))-$B$6*NORMSDIST(-((LN($B$6/A130)+($B$5+V130^2/2)*$B$4)/(V130*SQRT($B$4)))))-Q130)/($B$6*SQRT($B$4)*NORMDIST((LN($B$6/A130)+($B$5+V130^2/2)*$B$4)/(V130*SQRT($B$4)),0,1,FALSE()))),V130)</f>
        <v>0.391689571232519</v>
      </c>
      <c r="X130" s="2">
        <f>IFERROR(MEDIAN(0.0001,5,W130-((A130*EXP(-$B$5*$B$4)*NORMSDIST(-(((LN($B$6/A130)+($B$5+W130^2/2)*$B$4)/(W130*SQRT($B$4))-W130*SQRT($B$4))))-$B$6*NORMSDIST(-((LN($B$6/A130)+($B$5+W130^2/2)*$B$4)/(W130*SQRT($B$4)))))-Q130)/($B$6*SQRT($B$4)*NORMDIST((LN($B$6/A130)+($B$5+W130^2/2)*$B$4)/(W130*SQRT($B$4)),0,1,FALSE()))),W130)</f>
        <v>0.391689571232516</v>
      </c>
      <c r="Y130" s="2">
        <f>IFERROR(MEDIAN(0.0001,5,X130-((A130*EXP(-$B$5*$B$4)*NORMSDIST(-(((LN($B$6/A130)+($B$5+X130^2/2)*$B$4)/(X130*SQRT($B$4))-X130*SQRT($B$4))))-$B$6*NORMSDIST(-((LN($B$6/A130)+($B$5+X130^2/2)*$B$4)/(X130*SQRT($B$4)))))-Q130)/($B$6*SQRT($B$4)*NORMDIST((LN($B$6/A130)+($B$5+X130^2/2)*$B$4)/(X130*SQRT($B$4)),0,1,FALSE()))),X130)</f>
        <v>0.391689571232519</v>
      </c>
      <c r="Z130" s="2">
        <f>(LN($B$6/A130)+($B$5+Y130^2/2)*$B$4)/(Y130*SQRT($B$4))</f>
        <v>-1.14785146442876</v>
      </c>
      <c r="AA130" s="2">
        <f>Z130-Y130*SQRT($B$4)</f>
        <v>-1.2609225041237</v>
      </c>
      <c r="AB130" s="2">
        <f>NORMSDIST(-Z130)</f>
        <v>0.874485056234335</v>
      </c>
      <c r="AC130" s="2">
        <f>NORMSDIST(-AA130)</f>
        <v>0.896331615330483</v>
      </c>
      <c r="AD130" s="2">
        <f>A130*EXP(-$B$5*$B$4)*AC130-$B$6*AB130</f>
        <v>3550</v>
      </c>
      <c r="AE130" s="2">
        <f>AD130-Q130</f>
        <v>3.63797880709171e-12</v>
      </c>
    </row>
    <row r="131" spans="1:31">
      <c r="A131" s="2">
        <v>26850</v>
      </c>
      <c r="B131" s="2">
        <v>6.1</v>
      </c>
      <c r="C131" s="4">
        <v>0.3</v>
      </c>
      <c r="D131" s="2">
        <f t="shared" si="39"/>
        <v>0.244414979058551</v>
      </c>
      <c r="E131" s="2">
        <f t="shared" si="40"/>
        <v>0.219231094270724</v>
      </c>
      <c r="F131" s="2">
        <f t="shared" si="41"/>
        <v>0.211608994417262</v>
      </c>
      <c r="G131" s="2">
        <f t="shared" si="42"/>
        <v>0.210874470453207</v>
      </c>
      <c r="H131" s="2">
        <f t="shared" si="43"/>
        <v>0.210867860489094</v>
      </c>
      <c r="I131" s="2">
        <f t="shared" si="44"/>
        <v>0.21086785995637</v>
      </c>
      <c r="J131" s="2">
        <f t="shared" si="45"/>
        <v>0.21086785995637</v>
      </c>
      <c r="K131" s="2">
        <f t="shared" si="46"/>
        <v>-2.23734745425949</v>
      </c>
      <c r="L131" s="2">
        <f t="shared" si="47"/>
        <v>-2.29821976211412</v>
      </c>
      <c r="M131" s="2">
        <f t="shared" si="48"/>
        <v>0.0126318199785132</v>
      </c>
      <c r="N131" s="2">
        <f t="shared" si="49"/>
        <v>0.0107746422434771</v>
      </c>
      <c r="O131" s="2">
        <f t="shared" si="50"/>
        <v>6.10000000000008</v>
      </c>
      <c r="P131" s="2">
        <f t="shared" si="51"/>
        <v>7.99360577730113e-14</v>
      </c>
    </row>
    <row r="132" spans="1:31">
      <c r="A132" s="2">
        <v>26900</v>
      </c>
      <c r="B132" s="2">
        <v>1.2</v>
      </c>
      <c r="C132" s="4">
        <v>0.3</v>
      </c>
      <c r="D132" s="2">
        <f t="shared" si="39"/>
        <v>0.239397475335966</v>
      </c>
      <c r="E132" s="2">
        <f t="shared" si="40"/>
        <v>0.205606774833022</v>
      </c>
      <c r="F132" s="2">
        <f t="shared" si="41"/>
        <v>0.18668217490218</v>
      </c>
      <c r="G132" s="2">
        <f t="shared" si="42"/>
        <v>0.178664473463403</v>
      </c>
      <c r="H132" s="2">
        <f t="shared" si="43"/>
        <v>0.177169005687981</v>
      </c>
      <c r="I132" s="2">
        <f t="shared" si="44"/>
        <v>0.17712058890338</v>
      </c>
      <c r="J132" s="2">
        <f t="shared" si="45"/>
        <v>0.177120539321415</v>
      </c>
      <c r="K132" s="2">
        <f t="shared" si="46"/>
        <v>-2.71069299729612</v>
      </c>
      <c r="L132" s="2">
        <f t="shared" si="47"/>
        <v>-2.76182329282423</v>
      </c>
      <c r="M132" s="2">
        <f t="shared" si="48"/>
        <v>0.00335713805175332</v>
      </c>
      <c r="N132" s="2">
        <f t="shared" si="49"/>
        <v>0.0028739789249041</v>
      </c>
      <c r="O132" s="2">
        <f t="shared" si="50"/>
        <v>1.20000000000361</v>
      </c>
      <c r="P132" s="2">
        <f t="shared" si="51"/>
        <v>3.61244367752533e-12</v>
      </c>
    </row>
    <row r="133" spans="1:31">
      <c r="A133" s="2">
        <v>26950</v>
      </c>
      <c r="B133" s="2">
        <v>4.25</v>
      </c>
      <c r="C133" s="4">
        <v>0.3</v>
      </c>
      <c r="D133" s="2">
        <f t="shared" si="39"/>
        <v>0.24449861760646</v>
      </c>
      <c r="E133" s="2">
        <f t="shared" si="40"/>
        <v>0.217380332122247</v>
      </c>
      <c r="F133" s="2">
        <f t="shared" si="41"/>
        <v>0.207512452116578</v>
      </c>
      <c r="G133" s="2">
        <f t="shared" si="42"/>
        <v>0.206095911579132</v>
      </c>
      <c r="H133" s="2">
        <f t="shared" si="43"/>
        <v>0.206067940106056</v>
      </c>
      <c r="I133" s="2">
        <f t="shared" si="44"/>
        <v>0.206067929323739</v>
      </c>
      <c r="J133" s="2">
        <f t="shared" si="45"/>
        <v>0.206067929323738</v>
      </c>
      <c r="K133" s="2">
        <f t="shared" si="46"/>
        <v>-2.35335621930918</v>
      </c>
      <c r="L133" s="2">
        <f t="shared" si="47"/>
        <v>-2.41284290654238</v>
      </c>
      <c r="M133" s="2">
        <f t="shared" si="48"/>
        <v>0.00930240071474631</v>
      </c>
      <c r="N133" s="2">
        <f t="shared" si="49"/>
        <v>0.00791432010964433</v>
      </c>
      <c r="O133" s="2">
        <f t="shared" si="50"/>
        <v>4.24999999999991</v>
      </c>
      <c r="P133" s="2">
        <f t="shared" si="51"/>
        <v>-8.5265128291212e-14</v>
      </c>
    </row>
    <row r="134" spans="1:31">
      <c r="A134" s="2">
        <v>27000</v>
      </c>
      <c r="B134" s="2">
        <v>0.85</v>
      </c>
      <c r="C134" s="4">
        <v>0.3</v>
      </c>
      <c r="D134" s="2">
        <f t="shared" si="39"/>
        <v>0.240990486146733</v>
      </c>
      <c r="E134" s="2">
        <f t="shared" si="40"/>
        <v>0.207185212931458</v>
      </c>
      <c r="F134" s="2">
        <f t="shared" si="41"/>
        <v>0.187312622807102</v>
      </c>
      <c r="G134" s="2">
        <f t="shared" si="42"/>
        <v>0.177821661257505</v>
      </c>
      <c r="H134" s="2">
        <f t="shared" si="43"/>
        <v>0.175496744451178</v>
      </c>
      <c r="I134" s="2">
        <f t="shared" si="44"/>
        <v>0.175367474267457</v>
      </c>
      <c r="J134" s="2">
        <f t="shared" si="45"/>
        <v>0.175367089897336</v>
      </c>
      <c r="K134" s="2">
        <f t="shared" si="46"/>
        <v>-2.81160188376452</v>
      </c>
      <c r="L134" s="2">
        <f t="shared" si="47"/>
        <v>-2.86222600204414</v>
      </c>
      <c r="M134" s="2">
        <f t="shared" si="48"/>
        <v>0.00246477379894487</v>
      </c>
      <c r="N134" s="2">
        <f t="shared" si="49"/>
        <v>0.00210338409221467</v>
      </c>
      <c r="O134" s="2">
        <f t="shared" si="50"/>
        <v>0.850000000174383</v>
      </c>
      <c r="P134" s="2">
        <f t="shared" si="51"/>
        <v>1.74382841500176e-10</v>
      </c>
      <c r="Q134" s="2">
        <v>3705.45</v>
      </c>
      <c r="R134" s="4">
        <v>0.3</v>
      </c>
      <c r="S134" s="2">
        <f>IFERROR(MEDIAN(0.0001,5,R134-((A134*EXP(-$B$5*$B$4)*NORMSDIST(-(((LN($B$6/A134)+($B$5+R134^2/2)*$B$4)/(R134*SQRT($B$4))-R134*SQRT($B$4))))-$B$6*NORMSDIST(-((LN($B$6/A134)+($B$5+R134^2/2)*$B$4)/(R134*SQRT($B$4)))))-Q134)/($B$6*SQRT($B$4)*NORMDIST((LN($B$6/A134)+($B$5+R134^2/2)*$B$4)/(R134*SQRT($B$4)),0,1,FALSE()))),R134)</f>
        <v>0.39511269787018</v>
      </c>
      <c r="T134" s="2">
        <f>IFERROR(MEDIAN(0.0001,5,S134-((A134*EXP(-$B$5*$B$4)*NORMSDIST(-(((LN($B$6/A134)+($B$5+S134^2/2)*$B$4)/(S134*SQRT($B$4))-S134*SQRT($B$4))))-$B$6*NORMSDIST(-((LN($B$6/A134)+($B$5+S134^2/2)*$B$4)/(S134*SQRT($B$4)))))-Q134)/($B$6*SQRT($B$4)*NORMDIST((LN($B$6/A134)+($B$5+S134^2/2)*$B$4)/(S134*SQRT($B$4)),0,1,FALSE()))),S134)</f>
        <v>0.373264745551502</v>
      </c>
      <c r="U134" s="2">
        <f>IFERROR(MEDIAN(0.0001,5,T134-((A134*EXP(-$B$5*$B$4)*NORMSDIST(-(((LN($B$6/A134)+($B$5+T134^2/2)*$B$4)/(T134*SQRT($B$4))-T134*SQRT($B$4))))-$B$6*NORMSDIST(-((LN($B$6/A134)+($B$5+T134^2/2)*$B$4)/(T134*SQRT($B$4)))))-Q134)/($B$6*SQRT($B$4)*NORMDIST((LN($B$6/A134)+($B$5+T134^2/2)*$B$4)/(T134*SQRT($B$4)),0,1,FALSE()))),T134)</f>
        <v>0.372185793102096</v>
      </c>
      <c r="V134" s="2">
        <f>IFERROR(MEDIAN(0.0001,5,U134-((A134*EXP(-$B$5*$B$4)*NORMSDIST(-(((LN($B$6/A134)+($B$5+U134^2/2)*$B$4)/(U134*SQRT($B$4))-U134*SQRT($B$4))))-$B$6*NORMSDIST(-((LN($B$6/A134)+($B$5+U134^2/2)*$B$4)/(U134*SQRT($B$4)))))-Q134)/($B$6*SQRT($B$4)*NORMDIST((LN($B$6/A134)+($B$5+U134^2/2)*$B$4)/(U134*SQRT($B$4)),0,1,FALSE()))),U134)</f>
        <v>0.372183009843418</v>
      </c>
      <c r="W134" s="2">
        <f>IFERROR(MEDIAN(0.0001,5,V134-((A134*EXP(-$B$5*$B$4)*NORMSDIST(-(((LN($B$6/A134)+($B$5+V134^2/2)*$B$4)/(V134*SQRT($B$4))-V134*SQRT($B$4))))-$B$6*NORMSDIST(-((LN($B$6/A134)+($B$5+V134^2/2)*$B$4)/(V134*SQRT($B$4)))))-Q134)/($B$6*SQRT($B$4)*NORMDIST((LN($B$6/A134)+($B$5+V134^2/2)*$B$4)/(V134*SQRT($B$4)),0,1,FALSE()))),V134)</f>
        <v>0.372183009824854</v>
      </c>
      <c r="X134" s="2">
        <f>IFERROR(MEDIAN(0.0001,5,W134-((A134*EXP(-$B$5*$B$4)*NORMSDIST(-(((LN($B$6/A134)+($B$5+W134^2/2)*$B$4)/(W134*SQRT($B$4))-W134*SQRT($B$4))))-$B$6*NORMSDIST(-((LN($B$6/A134)+($B$5+W134^2/2)*$B$4)/(W134*SQRT($B$4)))))-Q134)/($B$6*SQRT($B$4)*NORMDIST((LN($B$6/A134)+($B$5+W134^2/2)*$B$4)/(W134*SQRT($B$4)),0,1,FALSE()))),W134)</f>
        <v>0.372183009824854</v>
      </c>
      <c r="Y134" s="2">
        <f>IFERROR(MEDIAN(0.0001,5,X134-((A134*EXP(-$B$5*$B$4)*NORMSDIST(-(((LN($B$6/A134)+($B$5+X134^2/2)*$B$4)/(X134*SQRT($B$4))-X134*SQRT($B$4))))-$B$6*NORMSDIST(-((LN($B$6/A134)+($B$5+X134^2/2)*$B$4)/(X134*SQRT($B$4)))))-Q134)/($B$6*SQRT($B$4)*NORMDIST((LN($B$6/A134)+($B$5+X134^2/2)*$B$4)/(X134*SQRT($B$4)),0,1,FALSE()))),X134)</f>
        <v>0.372183009824854</v>
      </c>
      <c r="Z134" s="2">
        <f>(LN($B$6/A134)+($B$5+Y134^2/2)*$B$4)/(Y134*SQRT($B$4))</f>
        <v>-1.28299159875774</v>
      </c>
      <c r="AA134" s="2">
        <f>Z134-Y134*SQRT($B$4)</f>
        <v>-1.39043157921284</v>
      </c>
      <c r="AB134" s="2">
        <f>NORMSDIST(-Z134)</f>
        <v>0.900252490285384</v>
      </c>
      <c r="AC134" s="2">
        <f>NORMSDIST(-AA134)</f>
        <v>0.917801068686894</v>
      </c>
      <c r="AD134" s="2">
        <f>A134*EXP(-$B$5*$B$4)*AC134-$B$6*AB134</f>
        <v>3705.45</v>
      </c>
      <c r="AE134" s="2">
        <f>AD134-Q134</f>
        <v>0</v>
      </c>
    </row>
    <row r="135" spans="1:31">
      <c r="A135" s="2">
        <v>27050</v>
      </c>
      <c r="B135" s="2">
        <v>1.95</v>
      </c>
      <c r="C135" s="4">
        <v>0.3</v>
      </c>
      <c r="D135" s="2">
        <f t="shared" si="39"/>
        <v>0.243546416665933</v>
      </c>
      <c r="E135" s="2">
        <f t="shared" si="40"/>
        <v>0.212740325126415</v>
      </c>
      <c r="F135" s="2">
        <f t="shared" si="41"/>
        <v>0.197586084113698</v>
      </c>
      <c r="G135" s="2">
        <f t="shared" si="42"/>
        <v>0.193159311804757</v>
      </c>
      <c r="H135" s="2">
        <f t="shared" si="43"/>
        <v>0.192794211897251</v>
      </c>
      <c r="I135" s="2">
        <f t="shared" si="44"/>
        <v>0.192791839087786</v>
      </c>
      <c r="J135" s="2">
        <f t="shared" si="45"/>
        <v>0.192791838988039</v>
      </c>
      <c r="K135" s="2">
        <f t="shared" si="46"/>
        <v>-2.58592675300072</v>
      </c>
      <c r="L135" s="2">
        <f t="shared" si="47"/>
        <v>-2.64158096306937</v>
      </c>
      <c r="M135" s="2">
        <f t="shared" si="48"/>
        <v>0.00485587831770158</v>
      </c>
      <c r="N135" s="2">
        <f t="shared" si="49"/>
        <v>0.00412600407660127</v>
      </c>
      <c r="O135" s="2">
        <f t="shared" si="50"/>
        <v>1.95000000000003</v>
      </c>
      <c r="P135" s="2">
        <f t="shared" si="51"/>
        <v>3.13082892944294e-14</v>
      </c>
    </row>
    <row r="136" spans="1:31">
      <c r="A136" s="2">
        <v>27100</v>
      </c>
      <c r="B136" s="2">
        <v>1.05</v>
      </c>
      <c r="C136" s="4">
        <v>0.3</v>
      </c>
      <c r="D136" s="2">
        <f t="shared" si="39"/>
        <v>0.243244299393146</v>
      </c>
      <c r="E136" s="2">
        <f t="shared" si="40"/>
        <v>0.210708884068898</v>
      </c>
      <c r="F136" s="2">
        <f t="shared" si="41"/>
        <v>0.192291022076021</v>
      </c>
      <c r="G136" s="2">
        <f t="shared" si="42"/>
        <v>0.184526999234652</v>
      </c>
      <c r="H136" s="2">
        <f t="shared" si="43"/>
        <v>0.183114761546831</v>
      </c>
      <c r="I136" s="2">
        <f t="shared" si="44"/>
        <v>0.183071433716031</v>
      </c>
      <c r="J136" s="2">
        <f t="shared" si="45"/>
        <v>0.183071393850829</v>
      </c>
      <c r="K136" s="2">
        <f t="shared" si="46"/>
        <v>-2.76105482101206</v>
      </c>
      <c r="L136" s="2">
        <f t="shared" si="47"/>
        <v>-2.81390298027241</v>
      </c>
      <c r="M136" s="2">
        <f t="shared" si="48"/>
        <v>0.00288075022211732</v>
      </c>
      <c r="N136" s="2">
        <f t="shared" si="49"/>
        <v>0.00244719988042548</v>
      </c>
      <c r="O136" s="2">
        <f t="shared" si="50"/>
        <v>1.05000000000197</v>
      </c>
      <c r="P136" s="2">
        <f t="shared" si="51"/>
        <v>1.97242222554905e-12</v>
      </c>
      <c r="Q136" s="2">
        <v>3809.35</v>
      </c>
      <c r="R136" s="4">
        <v>0.3</v>
      </c>
      <c r="S136" s="2">
        <f>IFERROR(MEDIAN(0.0001,5,R136-((A136*EXP(-$B$5*$B$4)*NORMSDIST(-(((LN($B$6/A136)+($B$5+R136^2/2)*$B$4)/(R136*SQRT($B$4))-R136*SQRT($B$4))))-$B$6*NORMSDIST(-((LN($B$6/A136)+($B$5+R136^2/2)*$B$4)/(R136*SQRT($B$4)))))-Q136)/($B$6*SQRT($B$4)*NORMDIST((LN($B$6/A136)+($B$5+R136^2/2)*$B$4)/(R136*SQRT($B$4)),0,1,FALSE()))),R136)</f>
        <v>0.414771398452057</v>
      </c>
      <c r="T136" s="2">
        <f>IFERROR(MEDIAN(0.0001,5,S136-((A136*EXP(-$B$5*$B$4)*NORMSDIST(-(((LN($B$6/A136)+($B$5+S136^2/2)*$B$4)/(S136*SQRT($B$4))-S136*SQRT($B$4))))-$B$6*NORMSDIST(-((LN($B$6/A136)+($B$5+S136^2/2)*$B$4)/(S136*SQRT($B$4)))))-Q136)/($B$6*SQRT($B$4)*NORMDIST((LN($B$6/A136)+($B$5+S136^2/2)*$B$4)/(S136*SQRT($B$4)),0,1,FALSE()))),S136)</f>
        <v>0.384807888165485</v>
      </c>
      <c r="U136" s="2">
        <f>IFERROR(MEDIAN(0.0001,5,T136-((A136*EXP(-$B$5*$B$4)*NORMSDIST(-(((LN($B$6/A136)+($B$5+T136^2/2)*$B$4)/(T136*SQRT($B$4))-T136*SQRT($B$4))))-$B$6*NORMSDIST(-((LN($B$6/A136)+($B$5+T136^2/2)*$B$4)/(T136*SQRT($B$4)))))-Q136)/($B$6*SQRT($B$4)*NORMDIST((LN($B$6/A136)+($B$5+T136^2/2)*$B$4)/(T136*SQRT($B$4)),0,1,FALSE()))),T136)</f>
        <v>0.382893996374733</v>
      </c>
      <c r="V136" s="2">
        <f>IFERROR(MEDIAN(0.0001,5,U136-((A136*EXP(-$B$5*$B$4)*NORMSDIST(-(((LN($B$6/A136)+($B$5+U136^2/2)*$B$4)/(U136*SQRT($B$4))-U136*SQRT($B$4))))-$B$6*NORMSDIST(-((LN($B$6/A136)+($B$5+U136^2/2)*$B$4)/(U136*SQRT($B$4)))))-Q136)/($B$6*SQRT($B$4)*NORMDIST((LN($B$6/A136)+($B$5+U136^2/2)*$B$4)/(U136*SQRT($B$4)),0,1,FALSE()))),U136)</f>
        <v>0.382885549529014</v>
      </c>
      <c r="W136" s="2">
        <f>IFERROR(MEDIAN(0.0001,5,V136-((A136*EXP(-$B$5*$B$4)*NORMSDIST(-(((LN($B$6/A136)+($B$5+V136^2/2)*$B$4)/(V136*SQRT($B$4))-V136*SQRT($B$4))))-$B$6*NORMSDIST(-((LN($B$6/A136)+($B$5+V136^2/2)*$B$4)/(V136*SQRT($B$4)))))-Q136)/($B$6*SQRT($B$4)*NORMDIST((LN($B$6/A136)+($B$5+V136^2/2)*$B$4)/(V136*SQRT($B$4)),0,1,FALSE()))),V136)</f>
        <v>0.382885549363798</v>
      </c>
      <c r="X136" s="2">
        <f>IFERROR(MEDIAN(0.0001,5,W136-((A136*EXP(-$B$5*$B$4)*NORMSDIST(-(((LN($B$6/A136)+($B$5+W136^2/2)*$B$4)/(W136*SQRT($B$4))-W136*SQRT($B$4))))-$B$6*NORMSDIST(-((LN($B$6/A136)+($B$5+W136^2/2)*$B$4)/(W136*SQRT($B$4)))))-Q136)/($B$6*SQRT($B$4)*NORMDIST((LN($B$6/A136)+($B$5+W136^2/2)*$B$4)/(W136*SQRT($B$4)),0,1,FALSE()))),W136)</f>
        <v>0.382885549363793</v>
      </c>
      <c r="Y136" s="2">
        <f>IFERROR(MEDIAN(0.0001,5,X136-((A136*EXP(-$B$5*$B$4)*NORMSDIST(-(((LN($B$6/A136)+($B$5+X136^2/2)*$B$4)/(X136*SQRT($B$4))-X136*SQRT($B$4))))-$B$6*NORMSDIST(-((LN($B$6/A136)+($B$5+X136^2/2)*$B$4)/(X136*SQRT($B$4)))))-Q136)/($B$6*SQRT($B$4)*NORMDIST((LN($B$6/A136)+($B$5+X136^2/2)*$B$4)/(X136*SQRT($B$4)),0,1,FALSE()))),X136)</f>
        <v>0.382885549363793</v>
      </c>
      <c r="Z136" s="2">
        <f>(LN($B$6/A136)+($B$5+Y136^2/2)*$B$4)/(Y136*SQRT($B$4))</f>
        <v>-1.27752945270562</v>
      </c>
      <c r="AA136" s="2">
        <f>Z136-Y136*SQRT($B$4)</f>
        <v>-1.38805899020263</v>
      </c>
      <c r="AB136" s="2">
        <f>NORMSDIST(-Z136)</f>
        <v>0.899292305456791</v>
      </c>
      <c r="AC136" s="2">
        <f>NORMSDIST(-AA136)</f>
        <v>0.917440458521122</v>
      </c>
      <c r="AD136" s="2">
        <f>A136*EXP(-$B$5*$B$4)*AC136-$B$6*AB136</f>
        <v>3809.35</v>
      </c>
      <c r="AE136" s="2">
        <f>AD136-Q136</f>
        <v>0</v>
      </c>
    </row>
    <row r="137" spans="1:31">
      <c r="A137" s="2">
        <v>27150</v>
      </c>
      <c r="B137" s="2">
        <v>5</v>
      </c>
      <c r="C137" s="4">
        <v>0.3</v>
      </c>
      <c r="D137" s="2">
        <f t="shared" si="39"/>
        <v>0.250241470178225</v>
      </c>
      <c r="E137" s="2">
        <f t="shared" si="40"/>
        <v>0.227174094525946</v>
      </c>
      <c r="F137" s="2">
        <f t="shared" si="41"/>
        <v>0.220352445836335</v>
      </c>
      <c r="G137" s="2">
        <f t="shared" si="42"/>
        <v>0.219743102913107</v>
      </c>
      <c r="H137" s="2">
        <f t="shared" si="43"/>
        <v>0.219738410975135</v>
      </c>
      <c r="I137" s="2">
        <f t="shared" si="44"/>
        <v>0.219738410698212</v>
      </c>
      <c r="J137" s="2">
        <f t="shared" si="45"/>
        <v>0.219738410698213</v>
      </c>
      <c r="K137" s="2">
        <f t="shared" si="46"/>
        <v>-2.3196843630654</v>
      </c>
      <c r="L137" s="2">
        <f t="shared" si="47"/>
        <v>-2.38311737834936</v>
      </c>
      <c r="M137" s="2">
        <f t="shared" si="48"/>
        <v>0.0101789791744349</v>
      </c>
      <c r="N137" s="2">
        <f t="shared" si="49"/>
        <v>0.00858335984465738</v>
      </c>
      <c r="O137" s="2">
        <f t="shared" si="50"/>
        <v>4.99999999999994</v>
      </c>
      <c r="P137" s="2">
        <f t="shared" si="51"/>
        <v>-5.6843418860808e-14</v>
      </c>
      <c r="Q137" s="2">
        <v>3860.6</v>
      </c>
      <c r="R137" s="4">
        <v>0.3</v>
      </c>
      <c r="S137" s="2">
        <f>IFERROR(MEDIAN(0.0001,5,R137-((A137*EXP(-$B$5*$B$4)*NORMSDIST(-(((LN($B$6/A137)+($B$5+R137^2/2)*$B$4)/(R137*SQRT($B$4))-R137*SQRT($B$4))))-$B$6*NORMSDIST(-((LN($B$6/A137)+($B$5+R137^2/2)*$B$4)/(R137*SQRT($B$4)))))-Q137)/($B$6*SQRT($B$4)*NORMDIST((LN($B$6/A137)+($B$5+R137^2/2)*$B$4)/(R137*SQRT($B$4)),0,1,FALSE()))),R137)</f>
        <v>0.424255592032479</v>
      </c>
      <c r="T137" s="2">
        <f>IFERROR(MEDIAN(0.0001,5,S137-((A137*EXP(-$B$5*$B$4)*NORMSDIST(-(((LN($B$6/A137)+($B$5+S137^2/2)*$B$4)/(S137*SQRT($B$4))-S137*SQRT($B$4))))-$B$6*NORMSDIST(-((LN($B$6/A137)+($B$5+S137^2/2)*$B$4)/(S137*SQRT($B$4)))))-Q137)/($B$6*SQRT($B$4)*NORMDIST((LN($B$6/A137)+($B$5+S137^2/2)*$B$4)/(S137*SQRT($B$4)),0,1,FALSE()))),S137)</f>
        <v>0.39007323927271</v>
      </c>
      <c r="U137" s="2">
        <f>IFERROR(MEDIAN(0.0001,5,T137-((A137*EXP(-$B$5*$B$4)*NORMSDIST(-(((LN($B$6/A137)+($B$5+T137^2/2)*$B$4)/(T137*SQRT($B$4))-T137*SQRT($B$4))))-$B$6*NORMSDIST(-((LN($B$6/A137)+($B$5+T137^2/2)*$B$4)/(T137*SQRT($B$4)))))-Q137)/($B$6*SQRT($B$4)*NORMDIST((LN($B$6/A137)+($B$5+T137^2/2)*$B$4)/(T137*SQRT($B$4)),0,1,FALSE()))),T137)</f>
        <v>0.387643945885925</v>
      </c>
      <c r="V137" s="2">
        <f>IFERROR(MEDIAN(0.0001,5,U137-((A137*EXP(-$B$5*$B$4)*NORMSDIST(-(((LN($B$6/A137)+($B$5+U137^2/2)*$B$4)/(U137*SQRT($B$4))-U137*SQRT($B$4))))-$B$6*NORMSDIST(-((LN($B$6/A137)+($B$5+U137^2/2)*$B$4)/(U137*SQRT($B$4)))))-Q137)/($B$6*SQRT($B$4)*NORMDIST((LN($B$6/A137)+($B$5+U137^2/2)*$B$4)/(U137*SQRT($B$4)),0,1,FALSE()))),U137)</f>
        <v>0.387630515672857</v>
      </c>
      <c r="W137" s="2">
        <f>IFERROR(MEDIAN(0.0001,5,V137-((A137*EXP(-$B$5*$B$4)*NORMSDIST(-(((LN($B$6/A137)+($B$5+V137^2/2)*$B$4)/(V137*SQRT($B$4))-V137*SQRT($B$4))))-$B$6*NORMSDIST(-((LN($B$6/A137)+($B$5+V137^2/2)*$B$4)/(V137*SQRT($B$4)))))-Q137)/($B$6*SQRT($B$4)*NORMDIST((LN($B$6/A137)+($B$5+V137^2/2)*$B$4)/(V137*SQRT($B$4)),0,1,FALSE()))),V137)</f>
        <v>0.387630515260221</v>
      </c>
      <c r="X137" s="2">
        <f>IFERROR(MEDIAN(0.0001,5,W137-((A137*EXP(-$B$5*$B$4)*NORMSDIST(-(((LN($B$6/A137)+($B$5+W137^2/2)*$B$4)/(W137*SQRT($B$4))-W137*SQRT($B$4))))-$B$6*NORMSDIST(-((LN($B$6/A137)+($B$5+W137^2/2)*$B$4)/(W137*SQRT($B$4)))))-Q137)/($B$6*SQRT($B$4)*NORMDIST((LN($B$6/A137)+($B$5+W137^2/2)*$B$4)/(W137*SQRT($B$4)),0,1,FALSE()))),W137)</f>
        <v>0.387630515260221</v>
      </c>
      <c r="Y137" s="2">
        <f>IFERROR(MEDIAN(0.0001,5,X137-((A137*EXP(-$B$5*$B$4)*NORMSDIST(-(((LN($B$6/A137)+($B$5+X137^2/2)*$B$4)/(X137*SQRT($B$4))-X137*SQRT($B$4))))-$B$6*NORMSDIST(-((LN($B$6/A137)+($B$5+X137^2/2)*$B$4)/(X137*SQRT($B$4)))))-Q137)/($B$6*SQRT($B$4)*NORMDIST((LN($B$6/A137)+($B$5+X137^2/2)*$B$4)/(X137*SQRT($B$4)),0,1,FALSE()))),X137)</f>
        <v>0.387630515260221</v>
      </c>
      <c r="Z137" s="2">
        <f>(LN($B$6/A137)+($B$5+Y137^2/2)*$B$4)/(Y137*SQRT($B$4))</f>
        <v>-1.2770029211075</v>
      </c>
      <c r="AA137" s="2">
        <f>Z137-Y137*SQRT($B$4)</f>
        <v>-1.3889022122733</v>
      </c>
      <c r="AB137" s="2">
        <f>NORMSDIST(-Z137)</f>
        <v>0.899199392011575</v>
      </c>
      <c r="AC137" s="2">
        <f>NORMSDIST(-AA137)</f>
        <v>0.917568756132839</v>
      </c>
      <c r="AD137" s="2">
        <f>A137*EXP(-$B$5*$B$4)*AC137-$B$6*AB137</f>
        <v>3860.6</v>
      </c>
      <c r="AE137" s="2">
        <f>AD137-Q137</f>
        <v>0</v>
      </c>
    </row>
    <row r="138" spans="1:31">
      <c r="A138" s="2">
        <v>27200</v>
      </c>
      <c r="B138" s="2">
        <v>0.7</v>
      </c>
      <c r="C138" s="4">
        <v>0.3</v>
      </c>
      <c r="D138" s="2">
        <f t="shared" si="39"/>
        <v>0.24459286344003</v>
      </c>
      <c r="E138" s="2">
        <f t="shared" si="40"/>
        <v>0.211905315354511</v>
      </c>
      <c r="F138" s="2">
        <f t="shared" si="41"/>
        <v>0.192311030088287</v>
      </c>
      <c r="G138" s="2">
        <f t="shared" si="42"/>
        <v>0.182760283670194</v>
      </c>
      <c r="H138" s="2">
        <f t="shared" si="43"/>
        <v>0.180341217926981</v>
      </c>
      <c r="I138" s="2">
        <f t="shared" si="44"/>
        <v>0.180198095516424</v>
      </c>
      <c r="J138" s="2">
        <f t="shared" si="45"/>
        <v>0.180197615274239</v>
      </c>
      <c r="K138" s="2">
        <f t="shared" si="46"/>
        <v>-2.87673048319227</v>
      </c>
      <c r="L138" s="2">
        <f t="shared" si="47"/>
        <v>-2.92874905403522</v>
      </c>
      <c r="M138" s="2">
        <f t="shared" si="48"/>
        <v>0.00200909315214484</v>
      </c>
      <c r="N138" s="2">
        <f t="shared" si="49"/>
        <v>0.00170164531487742</v>
      </c>
      <c r="O138" s="2">
        <f t="shared" si="50"/>
        <v>0.700000000230489</v>
      </c>
      <c r="P138" s="2">
        <f t="shared" si="51"/>
        <v>2.30488739205725e-10</v>
      </c>
      <c r="Q138" s="2">
        <v>3898.25</v>
      </c>
      <c r="R138" s="4">
        <v>0.3</v>
      </c>
      <c r="S138" s="2">
        <f>IFERROR(MEDIAN(0.0001,5,R138-((A138*EXP(-$B$5*$B$4)*NORMSDIST(-(((LN($B$6/A138)+($B$5+R138^2/2)*$B$4)/(R138*SQRT($B$4))-R138*SQRT($B$4))))-$B$6*NORMSDIST(-((LN($B$6/A138)+($B$5+R138^2/2)*$B$4)/(R138*SQRT($B$4)))))-Q138)/($B$6*SQRT($B$4)*NORMDIST((LN($B$6/A138)+($B$5+R138^2/2)*$B$4)/(R138*SQRT($B$4)),0,1,FALSE()))),R138)</f>
        <v>0.412642905465206</v>
      </c>
      <c r="T138" s="2">
        <f>IFERROR(MEDIAN(0.0001,5,S138-((A138*EXP(-$B$5*$B$4)*NORMSDIST(-(((LN($B$6/A138)+($B$5+S138^2/2)*$B$4)/(S138*SQRT($B$4))-S138*SQRT($B$4))))-$B$6*NORMSDIST(-((LN($B$6/A138)+($B$5+S138^2/2)*$B$4)/(S138*SQRT($B$4)))))-Q138)/($B$6*SQRT($B$4)*NORMDIST((LN($B$6/A138)+($B$5+S138^2/2)*$B$4)/(S138*SQRT($B$4)),0,1,FALSE()))),S138)</f>
        <v>0.382652787891695</v>
      </c>
      <c r="U138" s="2">
        <f>IFERROR(MEDIAN(0.0001,5,T138-((A138*EXP(-$B$5*$B$4)*NORMSDIST(-(((LN($B$6/A138)+($B$5+T138^2/2)*$B$4)/(T138*SQRT($B$4))-T138*SQRT($B$4))))-$B$6*NORMSDIST(-((LN($B$6/A138)+($B$5+T138^2/2)*$B$4)/(T138*SQRT($B$4)))))-Q138)/($B$6*SQRT($B$4)*NORMDIST((LN($B$6/A138)+($B$5+T138^2/2)*$B$4)/(T138*SQRT($B$4)),0,1,FALSE()))),T138)</f>
        <v>0.380594075916374</v>
      </c>
      <c r="V138" s="2">
        <f>IFERROR(MEDIAN(0.0001,5,U138-((A138*EXP(-$B$5*$B$4)*NORMSDIST(-(((LN($B$6/A138)+($B$5+U138^2/2)*$B$4)/(U138*SQRT($B$4))-U138*SQRT($B$4))))-$B$6*NORMSDIST(-((LN($B$6/A138)+($B$5+U138^2/2)*$B$4)/(U138*SQRT($B$4)))))-Q138)/($B$6*SQRT($B$4)*NORMDIST((LN($B$6/A138)+($B$5+U138^2/2)*$B$4)/(U138*SQRT($B$4)),0,1,FALSE()))),U138)</f>
        <v>0.380583618317993</v>
      </c>
      <c r="W138" s="2">
        <f>IFERROR(MEDIAN(0.0001,5,V138-((A138*EXP(-$B$5*$B$4)*NORMSDIST(-(((LN($B$6/A138)+($B$5+V138^2/2)*$B$4)/(V138*SQRT($B$4))-V138*SQRT($B$4))))-$B$6*NORMSDIST(-((LN($B$6/A138)+($B$5+V138^2/2)*$B$4)/(V138*SQRT($B$4)))))-Q138)/($B$6*SQRT($B$4)*NORMDIST((LN($B$6/A138)+($B$5+V138^2/2)*$B$4)/(V138*SQRT($B$4)),0,1,FALSE()))),V138)</f>
        <v>0.38058361804704</v>
      </c>
      <c r="X138" s="2">
        <f>IFERROR(MEDIAN(0.0001,5,W138-((A138*EXP(-$B$5*$B$4)*NORMSDIST(-(((LN($B$6/A138)+($B$5+W138^2/2)*$B$4)/(W138*SQRT($B$4))-W138*SQRT($B$4))))-$B$6*NORMSDIST(-((LN($B$6/A138)+($B$5+W138^2/2)*$B$4)/(W138*SQRT($B$4)))))-Q138)/($B$6*SQRT($B$4)*NORMDIST((LN($B$6/A138)+($B$5+W138^2/2)*$B$4)/(W138*SQRT($B$4)),0,1,FALSE()))),W138)</f>
        <v>0.38058361804704</v>
      </c>
      <c r="Y138" s="2">
        <f>IFERROR(MEDIAN(0.0001,5,X138-((A138*EXP(-$B$5*$B$4)*NORMSDIST(-(((LN($B$6/A138)+($B$5+X138^2/2)*$B$4)/(X138*SQRT($B$4))-X138*SQRT($B$4))))-$B$6*NORMSDIST(-((LN($B$6/A138)+($B$5+X138^2/2)*$B$4)/(X138*SQRT($B$4)))))-Q138)/($B$6*SQRT($B$4)*NORMDIST((LN($B$6/A138)+($B$5+X138^2/2)*$B$4)/(X138*SQRT($B$4)),0,1,FALSE()))),X138)</f>
        <v>0.38058361804704</v>
      </c>
      <c r="Z138" s="2">
        <f>(LN($B$6/A138)+($B$5+Y138^2/2)*$B$4)/(Y138*SQRT($B$4))</f>
        <v>-1.31944819873017</v>
      </c>
      <c r="AA138" s="2">
        <f>Z138-Y138*SQRT($B$4)</f>
        <v>-1.42931322589448</v>
      </c>
      <c r="AB138" s="2">
        <f>NORMSDIST(-Z138)</f>
        <v>0.906490341383799</v>
      </c>
      <c r="AC138" s="2">
        <f>NORMSDIST(-AA138)</f>
        <v>0.923542886850939</v>
      </c>
      <c r="AD138" s="2">
        <f>A138*EXP(-$B$5*$B$4)*AC138-$B$6*AB138</f>
        <v>3898.25</v>
      </c>
      <c r="AE138" s="2">
        <f>AD138-Q138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workbookViewId="0">
      <pane xSplit="1" ySplit="9" topLeftCell="B10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12" customWidth="1"/>
    <col min="2" max="2" width="13" customWidth="1"/>
    <col min="3" max="10" width="10" customWidth="1"/>
    <col min="11" max="17" width="12" customWidth="1"/>
    <col min="18" max="25" width="10" customWidth="1"/>
    <col min="26" max="31" width="12" customWidth="1"/>
  </cols>
  <sheetData>
    <row r="1" ht="17.4" spans="1:31">
      <c r="A1" s="1" t="s">
        <v>39</v>
      </c>
    </row>
    <row r="2" spans="1:31">
      <c r="A2" s="2" t="s">
        <v>1</v>
      </c>
    </row>
    <row r="4" spans="1:31">
      <c r="A4" s="3" t="s">
        <v>2</v>
      </c>
      <c r="B4" s="4">
        <v>0.25</v>
      </c>
      <c r="C4" s="2" t="s">
        <v>40</v>
      </c>
    </row>
    <row r="5" spans="1:31">
      <c r="A5" s="3" t="s">
        <v>4</v>
      </c>
      <c r="B5" s="5">
        <v>0.065</v>
      </c>
    </row>
    <row r="6" spans="1:31">
      <c r="A6" s="3" t="s">
        <v>5</v>
      </c>
      <c r="B6" s="2">
        <f>B25-Q25+A25</f>
        <v>23544.3</v>
      </c>
      <c r="C6" s="2" t="s">
        <v>41</v>
      </c>
    </row>
    <row r="8" spans="1:31">
      <c r="A8" s="3" t="s">
        <v>7</v>
      </c>
      <c r="B8" s="6">
        <v>0.3</v>
      </c>
    </row>
    <row r="9" ht="30" customHeight="1" spans="1:31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7" t="s">
        <v>18</v>
      </c>
      <c r="L9" s="7" t="s">
        <v>19</v>
      </c>
      <c r="M9" s="7" t="s">
        <v>20</v>
      </c>
      <c r="N9" s="7" t="s">
        <v>21</v>
      </c>
      <c r="O9" s="7" t="s">
        <v>22</v>
      </c>
      <c r="P9" s="7" t="s">
        <v>23</v>
      </c>
      <c r="Q9" s="7" t="s">
        <v>24</v>
      </c>
      <c r="R9" s="7" t="s">
        <v>25</v>
      </c>
      <c r="S9" s="7" t="s">
        <v>26</v>
      </c>
      <c r="T9" s="7" t="s">
        <v>27</v>
      </c>
      <c r="U9" s="7" t="s">
        <v>28</v>
      </c>
      <c r="V9" s="7" t="s">
        <v>29</v>
      </c>
      <c r="W9" s="7" t="s">
        <v>30</v>
      </c>
      <c r="X9" s="7" t="s">
        <v>31</v>
      </c>
      <c r="Y9" s="7" t="s">
        <v>32</v>
      </c>
      <c r="Z9" s="7" t="s">
        <v>33</v>
      </c>
      <c r="AA9" s="7" t="s">
        <v>34</v>
      </c>
      <c r="AB9" s="7" t="s">
        <v>35</v>
      </c>
      <c r="AC9" s="7" t="s">
        <v>36</v>
      </c>
      <c r="AD9" s="7" t="s">
        <v>37</v>
      </c>
      <c r="AE9" s="7" t="s">
        <v>38</v>
      </c>
    </row>
    <row r="10" spans="1:31">
      <c r="A10" s="2">
        <v>12000</v>
      </c>
      <c r="Q10" s="2">
        <v>3.45</v>
      </c>
      <c r="R10" s="4">
        <v>0.3</v>
      </c>
      <c r="S10" s="2">
        <f t="shared" ref="S10:S33" si="0">IFERROR(MEDIAN(0.0001,5,R10-((A10*EXP(-$B$5*$B$4)*NORMSDIST(-(((LN($B$6/A10)+($B$5+R10^2/2)*$B$4)/(R10*SQRT($B$4))-R10*SQRT($B$4))))-$B$6*NORMSDIST(-((LN($B$6/A10)+($B$5+R10^2/2)*$B$4)/(R10*SQRT($B$4)))))-Q10)/($B$6*SQRT($B$4)*NORMDIST((LN($B$6/A10)+($B$5+R10^2/2)*$B$4)/(R10*SQRT($B$4)),0,1,FALSE()))),R10)</f>
        <v>5</v>
      </c>
      <c r="T10" s="2">
        <f t="shared" ref="T10:T33" si="1">IFERROR(MEDIAN(0.0001,5,S10-((A10*EXP(-$B$5*$B$4)*NORMSDIST(-(((LN($B$6/A10)+($B$5+S10^2/2)*$B$4)/(S10*SQRT($B$4))-S10*SQRT($B$4))))-$B$6*NORMSDIST(-((LN($B$6/A10)+($B$5+S10^2/2)*$B$4)/(S10*SQRT($B$4)))))-Q10)/($B$6*SQRT($B$4)*NORMDIST((LN($B$6/A10)+($B$5+S10^2/2)*$B$4)/(S10*SQRT($B$4)),0,1,FALSE()))),S10)</f>
        <v>0.0001</v>
      </c>
      <c r="U10" s="2">
        <f t="shared" ref="U10:U33" si="2">IFERROR(MEDIAN(0.0001,5,T10-((A10*EXP(-$B$5*$B$4)*NORMSDIST(-(((LN($B$6/A10)+($B$5+T10^2/2)*$B$4)/(T10*SQRT($B$4))-T10*SQRT($B$4))))-$B$6*NORMSDIST(-((LN($B$6/A10)+($B$5+T10^2/2)*$B$4)/(T10*SQRT($B$4)))))-Q10)/($B$6*SQRT($B$4)*NORMDIST((LN($B$6/A10)+($B$5+T10^2/2)*$B$4)/(T10*SQRT($B$4)),0,1,FALSE()))),T10)</f>
        <v>0.0001</v>
      </c>
      <c r="V10" s="2">
        <f t="shared" ref="V10:V33" si="3">IFERROR(MEDIAN(0.0001,5,U10-((A10*EXP(-$B$5*$B$4)*NORMSDIST(-(((LN($B$6/A10)+($B$5+U10^2/2)*$B$4)/(U10*SQRT($B$4))-U10*SQRT($B$4))))-$B$6*NORMSDIST(-((LN($B$6/A10)+($B$5+U10^2/2)*$B$4)/(U10*SQRT($B$4)))))-Q10)/($B$6*SQRT($B$4)*NORMDIST((LN($B$6/A10)+($B$5+U10^2/2)*$B$4)/(U10*SQRT($B$4)),0,1,FALSE()))),U10)</f>
        <v>0.0001</v>
      </c>
      <c r="W10" s="2">
        <f t="shared" ref="W10:W33" si="4">IFERROR(MEDIAN(0.0001,5,V10-((A10*EXP(-$B$5*$B$4)*NORMSDIST(-(((LN($B$6/A10)+($B$5+V10^2/2)*$B$4)/(V10*SQRT($B$4))-V10*SQRT($B$4))))-$B$6*NORMSDIST(-((LN($B$6/A10)+($B$5+V10^2/2)*$B$4)/(V10*SQRT($B$4)))))-Q10)/($B$6*SQRT($B$4)*NORMDIST((LN($B$6/A10)+($B$5+V10^2/2)*$B$4)/(V10*SQRT($B$4)),0,1,FALSE()))),V10)</f>
        <v>0.0001</v>
      </c>
      <c r="X10" s="2">
        <f t="shared" ref="X10:X33" si="5">IFERROR(MEDIAN(0.0001,5,W10-((A10*EXP(-$B$5*$B$4)*NORMSDIST(-(((LN($B$6/A10)+($B$5+W10^2/2)*$B$4)/(W10*SQRT($B$4))-W10*SQRT($B$4))))-$B$6*NORMSDIST(-((LN($B$6/A10)+($B$5+W10^2/2)*$B$4)/(W10*SQRT($B$4)))))-Q10)/($B$6*SQRT($B$4)*NORMDIST((LN($B$6/A10)+($B$5+W10^2/2)*$B$4)/(W10*SQRT($B$4)),0,1,FALSE()))),W10)</f>
        <v>0.0001</v>
      </c>
      <c r="Y10" s="2">
        <f t="shared" ref="Y10:Y33" si="6">IFERROR(MEDIAN(0.0001,5,X10-((A10*EXP(-$B$5*$B$4)*NORMSDIST(-(((LN($B$6/A10)+($B$5+X10^2/2)*$B$4)/(X10*SQRT($B$4))-X10*SQRT($B$4))))-$B$6*NORMSDIST(-((LN($B$6/A10)+($B$5+X10^2/2)*$B$4)/(X10*SQRT($B$4)))))-Q10)/($B$6*SQRT($B$4)*NORMDIST((LN($B$6/A10)+($B$5+X10^2/2)*$B$4)/(X10*SQRT($B$4)),0,1,FALSE()))),X10)</f>
        <v>0.0001</v>
      </c>
      <c r="Z10" s="2">
        <f t="shared" ref="Z10:Z33" si="7">(LN($B$6/A10)+($B$5+Y10^2/2)*$B$4)/(Y10*SQRT($B$4))</f>
        <v>13804.5420882378</v>
      </c>
      <c r="AA10" s="2">
        <f t="shared" ref="AA10:AA33" si="8">Z10-Y10*SQRT($B$4)</f>
        <v>13804.5420382378</v>
      </c>
      <c r="AB10" s="2">
        <f t="shared" ref="AB10:AB33" si="9">NORMSDIST(-Z10)</f>
        <v>0</v>
      </c>
      <c r="AC10" s="2">
        <f t="shared" ref="AC10:AC33" si="10">NORMSDIST(-AA10)</f>
        <v>0</v>
      </c>
      <c r="AD10" s="2">
        <f t="shared" ref="AD10:AD33" si="11">A10*EXP(-$B$5*$B$4)*AC10-$B$6*AB10</f>
        <v>0</v>
      </c>
      <c r="AE10" s="2">
        <f t="shared" ref="AE10:AE33" si="12">AD10-Q10</f>
        <v>-3.45</v>
      </c>
    </row>
    <row r="11" spans="1:31">
      <c r="A11" s="2">
        <v>13000</v>
      </c>
      <c r="Q11" s="2">
        <v>5.2</v>
      </c>
      <c r="R11" s="4">
        <v>0.3</v>
      </c>
      <c r="S11" s="2">
        <f t="shared" si="0"/>
        <v>5</v>
      </c>
      <c r="T11" s="2">
        <f t="shared" si="1"/>
        <v>0.0001</v>
      </c>
      <c r="U11" s="2">
        <f t="shared" si="2"/>
        <v>0.0001</v>
      </c>
      <c r="V11" s="2">
        <f t="shared" si="3"/>
        <v>0.0001</v>
      </c>
      <c r="W11" s="2">
        <f t="shared" si="4"/>
        <v>0.0001</v>
      </c>
      <c r="X11" s="2">
        <f t="shared" si="5"/>
        <v>0.0001</v>
      </c>
      <c r="Y11" s="2">
        <f t="shared" si="6"/>
        <v>0.0001</v>
      </c>
      <c r="Z11" s="2">
        <f t="shared" si="7"/>
        <v>12203.6879347671</v>
      </c>
      <c r="AA11" s="2">
        <f t="shared" si="8"/>
        <v>12203.6878847671</v>
      </c>
      <c r="AB11" s="2">
        <f t="shared" si="9"/>
        <v>0</v>
      </c>
      <c r="AC11" s="2">
        <f t="shared" si="10"/>
        <v>0</v>
      </c>
      <c r="AD11" s="2">
        <f t="shared" si="11"/>
        <v>0</v>
      </c>
      <c r="AE11" s="2">
        <f t="shared" si="12"/>
        <v>-5.2</v>
      </c>
    </row>
    <row r="12" spans="1:31">
      <c r="A12" s="2">
        <v>14000</v>
      </c>
      <c r="Q12" s="2">
        <v>6.15</v>
      </c>
      <c r="R12" s="4">
        <v>0.3</v>
      </c>
      <c r="S12" s="2">
        <f t="shared" si="0"/>
        <v>1.29968816004227</v>
      </c>
      <c r="T12" s="2">
        <f t="shared" si="1"/>
        <v>0.764260671390942</v>
      </c>
      <c r="U12" s="2">
        <f t="shared" si="2"/>
        <v>0.581189085198678</v>
      </c>
      <c r="V12" s="2">
        <f t="shared" si="3"/>
        <v>0.488635602713348</v>
      </c>
      <c r="W12" s="2">
        <f t="shared" si="4"/>
        <v>0.440120328186026</v>
      </c>
      <c r="X12" s="2">
        <f t="shared" si="5"/>
        <v>0.42124282774252</v>
      </c>
      <c r="Y12" s="2">
        <f t="shared" si="6"/>
        <v>0.418231645354967</v>
      </c>
      <c r="Z12" s="2">
        <f t="shared" si="7"/>
        <v>2.66809622456057</v>
      </c>
      <c r="AA12" s="2">
        <f t="shared" si="8"/>
        <v>2.45898040188309</v>
      </c>
      <c r="AB12" s="2">
        <f t="shared" si="9"/>
        <v>0.00381412036424871</v>
      </c>
      <c r="AC12" s="2">
        <f t="shared" si="10"/>
        <v>0.00696661117976806</v>
      </c>
      <c r="AD12" s="2">
        <f t="shared" si="11"/>
        <v>6.15966625689016</v>
      </c>
      <c r="AE12" s="2">
        <f t="shared" si="12"/>
        <v>0.00966625689016176</v>
      </c>
    </row>
    <row r="13" spans="1:31">
      <c r="A13" s="2">
        <v>15000</v>
      </c>
      <c r="Q13" s="2">
        <v>8.3</v>
      </c>
      <c r="R13" s="4">
        <v>0.3</v>
      </c>
      <c r="S13" s="2">
        <f t="shared" si="0"/>
        <v>0.561047512037976</v>
      </c>
      <c r="T13" s="2">
        <f t="shared" si="1"/>
        <v>0.457827397177783</v>
      </c>
      <c r="U13" s="2">
        <f t="shared" si="2"/>
        <v>0.405688939954559</v>
      </c>
      <c r="V13" s="2">
        <f t="shared" si="3"/>
        <v>0.385081531649049</v>
      </c>
      <c r="W13" s="2">
        <f t="shared" si="4"/>
        <v>0.381526116755449</v>
      </c>
      <c r="X13" s="2">
        <f t="shared" si="5"/>
        <v>0.381425127208535</v>
      </c>
      <c r="Y13" s="2">
        <f t="shared" si="6"/>
        <v>0.381425047093536</v>
      </c>
      <c r="Z13" s="2">
        <f t="shared" si="7"/>
        <v>2.54450612965365</v>
      </c>
      <c r="AA13" s="2">
        <f t="shared" si="8"/>
        <v>2.35379360610689</v>
      </c>
      <c r="AB13" s="2">
        <f t="shared" si="9"/>
        <v>0.00547161955337697</v>
      </c>
      <c r="AC13" s="2">
        <f t="shared" si="10"/>
        <v>0.00929146294414206</v>
      </c>
      <c r="AD13" s="2">
        <f t="shared" si="11"/>
        <v>8.30000000000922</v>
      </c>
      <c r="AE13" s="2">
        <f t="shared" si="12"/>
        <v>9.2192919964873e-12</v>
      </c>
    </row>
    <row r="14" spans="1:31">
      <c r="A14" s="2">
        <v>16000</v>
      </c>
      <c r="B14" s="2">
        <v>7200</v>
      </c>
      <c r="C14" s="4">
        <v>0.3</v>
      </c>
      <c r="D14" s="2">
        <f>IFERROR(MEDIAN(0.0001,5,C14-(($B$6*NORMSDIST((LN($B$6/A14)+($B$5+C14^2/2)*$B$4)/(C14*SQRT($B$4)))-A14*EXP(-$B$5*$B$4)*NORMSDIST(((LN($B$6/A14)+($B$5+C14^2/2)*$B$4)/(C14*SQRT($B$4))-C14*SQRT($B$4))))-B14)/($B$6*SQRT($B$4)*NORMDIST((LN($B$6/A14)+($B$5+C14^2/2)*$B$4)/(C14*SQRT($B$4)),0,1,FALSE()))),C14)</f>
        <v>0.0001</v>
      </c>
      <c r="E14" s="2">
        <f>IFERROR(MEDIAN(0.0001,5,D14-(($B$6*NORMSDIST((LN($B$6/A14)+($B$5+D14^2/2)*$B$4)/(D14*SQRT($B$4)))-A14*EXP(-$B$5*$B$4)*NORMSDIST(((LN($B$6/A14)+($B$5+D14^2/2)*$B$4)/(D14*SQRT($B$4))-D14*SQRT($B$4))))-B14)/($B$6*SQRT($B$4)*NORMDIST((LN($B$6/A14)+($B$5+D14^2/2)*$B$4)/(D14*SQRT($B$4)),0,1,FALSE()))),D14)</f>
        <v>0.0001</v>
      </c>
      <c r="F14" s="2">
        <f>IFERROR(MEDIAN(0.0001,5,E14-(($B$6*NORMSDIST((LN($B$6/A14)+($B$5+E14^2/2)*$B$4)/(E14*SQRT($B$4)))-A14*EXP(-$B$5*$B$4)*NORMSDIST(((LN($B$6/A14)+($B$5+E14^2/2)*$B$4)/(E14*SQRT($B$4))-E14*SQRT($B$4))))-B14)/($B$6*SQRT($B$4)*NORMDIST((LN($B$6/A14)+($B$5+E14^2/2)*$B$4)/(E14*SQRT($B$4)),0,1,FALSE()))),E14)</f>
        <v>0.0001</v>
      </c>
      <c r="G14" s="2">
        <f>IFERROR(MEDIAN(0.0001,5,F14-(($B$6*NORMSDIST((LN($B$6/A14)+($B$5+F14^2/2)*$B$4)/(F14*SQRT($B$4)))-A14*EXP(-$B$5*$B$4)*NORMSDIST(((LN($B$6/A14)+($B$5+F14^2/2)*$B$4)/(F14*SQRT($B$4))-F14*SQRT($B$4))))-B14)/($B$6*SQRT($B$4)*NORMDIST((LN($B$6/A14)+($B$5+F14^2/2)*$B$4)/(F14*SQRT($B$4)),0,1,FALSE()))),F14)</f>
        <v>0.0001</v>
      </c>
      <c r="H14" s="2">
        <f>IFERROR(MEDIAN(0.0001,5,G14-(($B$6*NORMSDIST((LN($B$6/A14)+($B$5+G14^2/2)*$B$4)/(G14*SQRT($B$4)))-A14*EXP(-$B$5*$B$4)*NORMSDIST(((LN($B$6/A14)+($B$5+G14^2/2)*$B$4)/(G14*SQRT($B$4))-G14*SQRT($B$4))))-B14)/($B$6*SQRT($B$4)*NORMDIST((LN($B$6/A14)+($B$5+G14^2/2)*$B$4)/(G14*SQRT($B$4)),0,1,FALSE()))),G14)</f>
        <v>0.0001</v>
      </c>
      <c r="I14" s="2">
        <f>IFERROR(MEDIAN(0.0001,5,H14-(($B$6*NORMSDIST((LN($B$6/A14)+($B$5+H14^2/2)*$B$4)/(H14*SQRT($B$4)))-A14*EXP(-$B$5*$B$4)*NORMSDIST(((LN($B$6/A14)+($B$5+H14^2/2)*$B$4)/(H14*SQRT($B$4))-H14*SQRT($B$4))))-B14)/($B$6*SQRT($B$4)*NORMDIST((LN($B$6/A14)+($B$5+H14^2/2)*$B$4)/(H14*SQRT($B$4)),0,1,FALSE()))),H14)</f>
        <v>0.0001</v>
      </c>
      <c r="J14" s="2">
        <f>IFERROR(MEDIAN(0.0001,5,I14-(($B$6*NORMSDIST((LN($B$6/A14)+($B$5+I14^2/2)*$B$4)/(I14*SQRT($B$4)))-A14*EXP(-$B$5*$B$4)*NORMSDIST(((LN($B$6/A14)+($B$5+I14^2/2)*$B$4)/(I14*SQRT($B$4))-I14*SQRT($B$4))))-B14)/($B$6*SQRT($B$4)*NORMDIST((LN($B$6/A14)+($B$5+I14^2/2)*$B$4)/(I14*SQRT($B$4)),0,1,FALSE()))),I14)</f>
        <v>0.0001</v>
      </c>
      <c r="K14" s="2">
        <f>(LN($B$6/A14)+($B$5+J14^2/2)*$B$4)/(J14*SQRT($B$4))</f>
        <v>8050.90063920217</v>
      </c>
      <c r="L14" s="2">
        <f>K14-J14*SQRT($B$4)</f>
        <v>8050.90058920217</v>
      </c>
      <c r="M14" s="2">
        <f>NORMSDIST(K14)</f>
        <v>1</v>
      </c>
      <c r="N14" s="2">
        <f>NORMSDIST(L14)</f>
        <v>1</v>
      </c>
      <c r="O14" s="2">
        <f>$B$6*M14-A14*EXP(-$B$5*$B$4)*N14</f>
        <v>7802.198896373</v>
      </c>
      <c r="P14" s="2">
        <f>O14-B14</f>
        <v>602.198896373</v>
      </c>
      <c r="Q14" s="2">
        <v>9.45</v>
      </c>
      <c r="R14" s="4">
        <v>0.3</v>
      </c>
      <c r="S14" s="2">
        <f t="shared" si="0"/>
        <v>0.359581458397432</v>
      </c>
      <c r="T14" s="2">
        <f t="shared" si="1"/>
        <v>0.341527320835402</v>
      </c>
      <c r="U14" s="2">
        <f t="shared" si="2"/>
        <v>0.338655523627161</v>
      </c>
      <c r="V14" s="2">
        <f t="shared" si="3"/>
        <v>0.338585777725941</v>
      </c>
      <c r="W14" s="2">
        <f t="shared" si="4"/>
        <v>0.33858573714735</v>
      </c>
      <c r="X14" s="2">
        <f t="shared" si="5"/>
        <v>0.338585737147337</v>
      </c>
      <c r="Y14" s="2">
        <f t="shared" si="6"/>
        <v>0.338585737147337</v>
      </c>
      <c r="Z14" s="2">
        <f t="shared" si="7"/>
        <v>2.4624490794995</v>
      </c>
      <c r="AA14" s="2">
        <f t="shared" si="8"/>
        <v>2.29315621092583</v>
      </c>
      <c r="AB14" s="2">
        <f t="shared" si="9"/>
        <v>0.00689958829039772</v>
      </c>
      <c r="AC14" s="2">
        <f t="shared" si="10"/>
        <v>0.0109195065800973</v>
      </c>
      <c r="AD14" s="2">
        <f t="shared" si="11"/>
        <v>9.45000000000016</v>
      </c>
      <c r="AE14" s="2">
        <f t="shared" si="12"/>
        <v>1.59872115546023e-13</v>
      </c>
    </row>
    <row r="15" spans="1:31">
      <c r="A15" s="2">
        <v>16500</v>
      </c>
      <c r="Q15" s="2">
        <v>9.5</v>
      </c>
      <c r="R15" s="4">
        <v>0.3</v>
      </c>
      <c r="S15" s="2">
        <f t="shared" si="0"/>
        <v>0.317938342802293</v>
      </c>
      <c r="T15" s="2">
        <f t="shared" si="1"/>
        <v>0.315444732816967</v>
      </c>
      <c r="U15" s="2">
        <f t="shared" si="2"/>
        <v>0.315389305253279</v>
      </c>
      <c r="V15" s="2">
        <f t="shared" si="3"/>
        <v>0.31538927820493</v>
      </c>
      <c r="W15" s="2">
        <f t="shared" si="4"/>
        <v>0.315389278204923</v>
      </c>
      <c r="X15" s="2">
        <f t="shared" si="5"/>
        <v>0.315389278204923</v>
      </c>
      <c r="Y15" s="2">
        <f t="shared" si="6"/>
        <v>0.315389278204924</v>
      </c>
      <c r="Z15" s="2">
        <f t="shared" si="7"/>
        <v>2.43639970154309</v>
      </c>
      <c r="AA15" s="2">
        <f t="shared" si="8"/>
        <v>2.27870506244062</v>
      </c>
      <c r="AB15" s="2">
        <f t="shared" si="9"/>
        <v>0.00741714135639102</v>
      </c>
      <c r="AC15" s="2">
        <f t="shared" si="10"/>
        <v>0.0113423018077749</v>
      </c>
      <c r="AD15" s="2">
        <f t="shared" si="11"/>
        <v>9.50000000000003</v>
      </c>
      <c r="AE15" s="2">
        <f t="shared" si="12"/>
        <v>2.8421709430404e-14</v>
      </c>
    </row>
    <row r="16" spans="1:31">
      <c r="A16" s="2">
        <v>17000</v>
      </c>
      <c r="Q16" s="2">
        <v>13.55</v>
      </c>
      <c r="R16" s="4">
        <v>0.3</v>
      </c>
      <c r="S16" s="2">
        <f t="shared" si="0"/>
        <v>0.306820710032304</v>
      </c>
      <c r="T16" s="2">
        <f t="shared" si="1"/>
        <v>0.306455834338418</v>
      </c>
      <c r="U16" s="2">
        <f t="shared" si="2"/>
        <v>0.306454752329375</v>
      </c>
      <c r="V16" s="2">
        <f t="shared" si="3"/>
        <v>0.306454752319875</v>
      </c>
      <c r="W16" s="2">
        <f t="shared" si="4"/>
        <v>0.306454752319875</v>
      </c>
      <c r="X16" s="2">
        <f t="shared" si="5"/>
        <v>0.306454752319875</v>
      </c>
      <c r="Y16" s="2">
        <f t="shared" si="6"/>
        <v>0.306454752319875</v>
      </c>
      <c r="Z16" s="2">
        <f t="shared" si="7"/>
        <v>2.30807139141348</v>
      </c>
      <c r="AA16" s="2">
        <f t="shared" si="8"/>
        <v>2.15484401525354</v>
      </c>
      <c r="AB16" s="2">
        <f t="shared" si="9"/>
        <v>0.0104975830352631</v>
      </c>
      <c r="AC16" s="2">
        <f t="shared" si="10"/>
        <v>0.0155870212983616</v>
      </c>
      <c r="AD16" s="2">
        <f t="shared" si="11"/>
        <v>13.5499999999999</v>
      </c>
      <c r="AE16" s="2">
        <f t="shared" si="12"/>
        <v>-1.31450406115619e-13</v>
      </c>
    </row>
    <row r="17" spans="1:31">
      <c r="A17" s="2">
        <v>18000</v>
      </c>
      <c r="B17" s="2">
        <v>5320</v>
      </c>
      <c r="C17" s="4">
        <v>0.3</v>
      </c>
      <c r="D17" s="2">
        <f>IFERROR(MEDIAN(0.0001,5,C17-(($B$6*NORMSDIST((LN($B$6/A17)+($B$5+C17^2/2)*$B$4)/(C17*SQRT($B$4)))-A17*EXP(-$B$5*$B$4)*NORMSDIST(((LN($B$6/A17)+($B$5+C17^2/2)*$B$4)/(C17*SQRT($B$4))-C17*SQRT($B$4))))-B17)/($B$6*SQRT($B$4)*NORMDIST((LN($B$6/A17)+($B$5+C17^2/2)*$B$4)/(C17*SQRT($B$4)),0,1,FALSE()))),C17)</f>
        <v>0.0001</v>
      </c>
      <c r="E17" s="2">
        <f>IFERROR(MEDIAN(0.0001,5,D17-(($B$6*NORMSDIST((LN($B$6/A17)+($B$5+D17^2/2)*$B$4)/(D17*SQRT($B$4)))-A17*EXP(-$B$5*$B$4)*NORMSDIST(((LN($B$6/A17)+($B$5+D17^2/2)*$B$4)/(D17*SQRT($B$4))-D17*SQRT($B$4))))-B17)/($B$6*SQRT($B$4)*NORMDIST((LN($B$6/A17)+($B$5+D17^2/2)*$B$4)/(D17*SQRT($B$4)),0,1,FALSE()))),D17)</f>
        <v>0.0001</v>
      </c>
      <c r="F17" s="2">
        <f>IFERROR(MEDIAN(0.0001,5,E17-(($B$6*NORMSDIST((LN($B$6/A17)+($B$5+E17^2/2)*$B$4)/(E17*SQRT($B$4)))-A17*EXP(-$B$5*$B$4)*NORMSDIST(((LN($B$6/A17)+($B$5+E17^2/2)*$B$4)/(E17*SQRT($B$4))-E17*SQRT($B$4))))-B17)/($B$6*SQRT($B$4)*NORMDIST((LN($B$6/A17)+($B$5+E17^2/2)*$B$4)/(E17*SQRT($B$4)),0,1,FALSE()))),E17)</f>
        <v>0.0001</v>
      </c>
      <c r="G17" s="2">
        <f>IFERROR(MEDIAN(0.0001,5,F17-(($B$6*NORMSDIST((LN($B$6/A17)+($B$5+F17^2/2)*$B$4)/(F17*SQRT($B$4)))-A17*EXP(-$B$5*$B$4)*NORMSDIST(((LN($B$6/A17)+($B$5+F17^2/2)*$B$4)/(F17*SQRT($B$4))-F17*SQRT($B$4))))-B17)/($B$6*SQRT($B$4)*NORMDIST((LN($B$6/A17)+($B$5+F17^2/2)*$B$4)/(F17*SQRT($B$4)),0,1,FALSE()))),F17)</f>
        <v>0.0001</v>
      </c>
      <c r="H17" s="2">
        <f>IFERROR(MEDIAN(0.0001,5,G17-(($B$6*NORMSDIST((LN($B$6/A17)+($B$5+G17^2/2)*$B$4)/(G17*SQRT($B$4)))-A17*EXP(-$B$5*$B$4)*NORMSDIST(((LN($B$6/A17)+($B$5+G17^2/2)*$B$4)/(G17*SQRT($B$4))-G17*SQRT($B$4))))-B17)/($B$6*SQRT($B$4)*NORMDIST((LN($B$6/A17)+($B$5+G17^2/2)*$B$4)/(G17*SQRT($B$4)),0,1,FALSE()))),G17)</f>
        <v>0.0001</v>
      </c>
      <c r="I17" s="2">
        <f>IFERROR(MEDIAN(0.0001,5,H17-(($B$6*NORMSDIST((LN($B$6/A17)+($B$5+H17^2/2)*$B$4)/(H17*SQRT($B$4)))-A17*EXP(-$B$5*$B$4)*NORMSDIST(((LN($B$6/A17)+($B$5+H17^2/2)*$B$4)/(H17*SQRT($B$4))-H17*SQRT($B$4))))-B17)/($B$6*SQRT($B$4)*NORMDIST((LN($B$6/A17)+($B$5+H17^2/2)*$B$4)/(H17*SQRT($B$4)),0,1,FALSE()))),H17)</f>
        <v>0.0001</v>
      </c>
      <c r="J17" s="2">
        <f>IFERROR(MEDIAN(0.0001,5,I17-(($B$6*NORMSDIST((LN($B$6/A17)+($B$5+I17^2/2)*$B$4)/(I17*SQRT($B$4)))-A17*EXP(-$B$5*$B$4)*NORMSDIST(((LN($B$6/A17)+($B$5+I17^2/2)*$B$4)/(I17*SQRT($B$4))-I17*SQRT($B$4))))-B17)/($B$6*SQRT($B$4)*NORMDIST((LN($B$6/A17)+($B$5+I17^2/2)*$B$4)/(I17*SQRT($B$4)),0,1,FALSE()))),I17)</f>
        <v>0.0001</v>
      </c>
      <c r="K17" s="2">
        <f>(LN($B$6/A17)+($B$5+J17^2/2)*$B$4)/(J17*SQRT($B$4))</f>
        <v>5695.2399260745</v>
      </c>
      <c r="L17" s="2">
        <f>K17-J17*SQRT($B$4)</f>
        <v>5695.2398760745</v>
      </c>
      <c r="M17" s="2">
        <f>NORMSDIST(K17)</f>
        <v>1</v>
      </c>
      <c r="N17" s="2">
        <f>NORMSDIST(L17)</f>
        <v>1</v>
      </c>
      <c r="O17" s="2">
        <f>$B$6*M17-A17*EXP(-$B$5*$B$4)*N17</f>
        <v>5834.43625841963</v>
      </c>
      <c r="P17" s="2">
        <f>O17-B17</f>
        <v>514.436258419628</v>
      </c>
      <c r="Q17" s="2">
        <v>18.95</v>
      </c>
      <c r="R17" s="4">
        <v>0.3</v>
      </c>
      <c r="S17" s="2">
        <f t="shared" si="0"/>
        <v>0.277651604949723</v>
      </c>
      <c r="T17" s="2">
        <f t="shared" si="1"/>
        <v>0.273677011931124</v>
      </c>
      <c r="U17" s="2">
        <f t="shared" si="2"/>
        <v>0.273550616779327</v>
      </c>
      <c r="V17" s="2">
        <f t="shared" si="3"/>
        <v>0.273550490291115</v>
      </c>
      <c r="W17" s="2">
        <f t="shared" si="4"/>
        <v>0.273550490290989</v>
      </c>
      <c r="X17" s="2">
        <f t="shared" si="5"/>
        <v>0.273550490290988</v>
      </c>
      <c r="Y17" s="2">
        <f t="shared" si="6"/>
        <v>0.273550490290988</v>
      </c>
      <c r="Z17" s="2">
        <f t="shared" si="7"/>
        <v>2.15035789980245</v>
      </c>
      <c r="AA17" s="2">
        <f t="shared" si="8"/>
        <v>2.01358265465696</v>
      </c>
      <c r="AB17" s="2">
        <f t="shared" si="9"/>
        <v>0.0157634578839328</v>
      </c>
      <c r="AC17" s="2">
        <f t="shared" si="10"/>
        <v>0.0220266845159741</v>
      </c>
      <c r="AD17" s="2">
        <f t="shared" si="11"/>
        <v>18.95</v>
      </c>
      <c r="AE17" s="2">
        <f t="shared" si="12"/>
        <v>4.61852778244065e-14</v>
      </c>
    </row>
    <row r="18" spans="1:31">
      <c r="A18" s="2">
        <v>19000</v>
      </c>
      <c r="B18" s="2">
        <v>4423.25</v>
      </c>
      <c r="C18" s="4">
        <v>0.3</v>
      </c>
      <c r="D18" s="2">
        <f>IFERROR(MEDIAN(0.0001,5,C18-(($B$6*NORMSDIST((LN($B$6/A18)+($B$5+C18^2/2)*$B$4)/(C18*SQRT($B$4)))-A18*EXP(-$B$5*$B$4)*NORMSDIST(((LN($B$6/A18)+($B$5+C18^2/2)*$B$4)/(C18*SQRT($B$4))-C18*SQRT($B$4))))-B18)/($B$6*SQRT($B$4)*NORMDIST((LN($B$6/A18)+($B$5+C18^2/2)*$B$4)/(C18*SQRT($B$4)),0,1,FALSE()))),C18)</f>
        <v>0.0001</v>
      </c>
      <c r="E18" s="2">
        <f>IFERROR(MEDIAN(0.0001,5,D18-(($B$6*NORMSDIST((LN($B$6/A18)+($B$5+D18^2/2)*$B$4)/(D18*SQRT($B$4)))-A18*EXP(-$B$5*$B$4)*NORMSDIST(((LN($B$6/A18)+($B$5+D18^2/2)*$B$4)/(D18*SQRT($B$4))-D18*SQRT($B$4))))-B18)/($B$6*SQRT($B$4)*NORMDIST((LN($B$6/A18)+($B$5+D18^2/2)*$B$4)/(D18*SQRT($B$4)),0,1,FALSE()))),D18)</f>
        <v>0.0001</v>
      </c>
      <c r="F18" s="2">
        <f>IFERROR(MEDIAN(0.0001,5,E18-(($B$6*NORMSDIST((LN($B$6/A18)+($B$5+E18^2/2)*$B$4)/(E18*SQRT($B$4)))-A18*EXP(-$B$5*$B$4)*NORMSDIST(((LN($B$6/A18)+($B$5+E18^2/2)*$B$4)/(E18*SQRT($B$4))-E18*SQRT($B$4))))-B18)/($B$6*SQRT($B$4)*NORMDIST((LN($B$6/A18)+($B$5+E18^2/2)*$B$4)/(E18*SQRT($B$4)),0,1,FALSE()))),E18)</f>
        <v>0.0001</v>
      </c>
      <c r="G18" s="2">
        <f>IFERROR(MEDIAN(0.0001,5,F18-(($B$6*NORMSDIST((LN($B$6/A18)+($B$5+F18^2/2)*$B$4)/(F18*SQRT($B$4)))-A18*EXP(-$B$5*$B$4)*NORMSDIST(((LN($B$6/A18)+($B$5+F18^2/2)*$B$4)/(F18*SQRT($B$4))-F18*SQRT($B$4))))-B18)/($B$6*SQRT($B$4)*NORMDIST((LN($B$6/A18)+($B$5+F18^2/2)*$B$4)/(F18*SQRT($B$4)),0,1,FALSE()))),F18)</f>
        <v>0.0001</v>
      </c>
      <c r="H18" s="2">
        <f>IFERROR(MEDIAN(0.0001,5,G18-(($B$6*NORMSDIST((LN($B$6/A18)+($B$5+G18^2/2)*$B$4)/(G18*SQRT($B$4)))-A18*EXP(-$B$5*$B$4)*NORMSDIST(((LN($B$6/A18)+($B$5+G18^2/2)*$B$4)/(G18*SQRT($B$4))-G18*SQRT($B$4))))-B18)/($B$6*SQRT($B$4)*NORMDIST((LN($B$6/A18)+($B$5+G18^2/2)*$B$4)/(G18*SQRT($B$4)),0,1,FALSE()))),G18)</f>
        <v>0.0001</v>
      </c>
      <c r="I18" s="2">
        <f>IFERROR(MEDIAN(0.0001,5,H18-(($B$6*NORMSDIST((LN($B$6/A18)+($B$5+H18^2/2)*$B$4)/(H18*SQRT($B$4)))-A18*EXP(-$B$5*$B$4)*NORMSDIST(((LN($B$6/A18)+($B$5+H18^2/2)*$B$4)/(H18*SQRT($B$4))-H18*SQRT($B$4))))-B18)/($B$6*SQRT($B$4)*NORMDIST((LN($B$6/A18)+($B$5+H18^2/2)*$B$4)/(H18*SQRT($B$4)),0,1,FALSE()))),H18)</f>
        <v>0.0001</v>
      </c>
      <c r="J18" s="2">
        <f>IFERROR(MEDIAN(0.0001,5,I18-(($B$6*NORMSDIST((LN($B$6/A18)+($B$5+I18^2/2)*$B$4)/(I18*SQRT($B$4)))-A18*EXP(-$B$5*$B$4)*NORMSDIST(((LN($B$6/A18)+($B$5+I18^2/2)*$B$4)/(I18*SQRT($B$4))-I18*SQRT($B$4))))-B18)/($B$6*SQRT($B$4)*NORMDIST((LN($B$6/A18)+($B$5+I18^2/2)*$B$4)/(I18*SQRT($B$4)),0,1,FALSE()))),I18)</f>
        <v>0.0001</v>
      </c>
      <c r="K18" s="2">
        <f>(LN($B$6/A18)+($B$5+J18^2/2)*$B$4)/(J18*SQRT($B$4))</f>
        <v>4613.89550066899</v>
      </c>
      <c r="L18" s="2">
        <f>K18-J18*SQRT($B$4)</f>
        <v>4613.89545066899</v>
      </c>
      <c r="M18" s="2">
        <f>NORMSDIST(K18)</f>
        <v>1</v>
      </c>
      <c r="N18" s="2">
        <f>NORMSDIST(L18)</f>
        <v>1</v>
      </c>
      <c r="O18" s="2">
        <f>$B$6*M18-A18*EXP(-$B$5*$B$4)*N18</f>
        <v>4850.55493944294</v>
      </c>
      <c r="P18" s="2">
        <f>O18-B18</f>
        <v>427.30493944294</v>
      </c>
      <c r="Q18" s="2">
        <v>27.95</v>
      </c>
      <c r="R18" s="4">
        <v>0.3</v>
      </c>
      <c r="S18" s="2">
        <f t="shared" si="0"/>
        <v>0.255891256511967</v>
      </c>
      <c r="T18" s="2">
        <f t="shared" si="1"/>
        <v>0.243707069641712</v>
      </c>
      <c r="U18" s="2">
        <f t="shared" si="2"/>
        <v>0.242600420309197</v>
      </c>
      <c r="V18" s="2">
        <f t="shared" si="3"/>
        <v>0.242591283466885</v>
      </c>
      <c r="W18" s="2">
        <f t="shared" si="4"/>
        <v>0.242591282845105</v>
      </c>
      <c r="X18" s="2">
        <f t="shared" si="5"/>
        <v>0.242591282845105</v>
      </c>
      <c r="Y18" s="2">
        <f t="shared" si="6"/>
        <v>0.242591282845105</v>
      </c>
      <c r="Z18" s="2">
        <f t="shared" si="7"/>
        <v>1.96256920121487</v>
      </c>
      <c r="AA18" s="2">
        <f t="shared" si="8"/>
        <v>1.84127355979231</v>
      </c>
      <c r="AB18" s="2">
        <f t="shared" si="9"/>
        <v>0.0248481261753902</v>
      </c>
      <c r="AC18" s="2">
        <f t="shared" si="10"/>
        <v>0.0327907401714065</v>
      </c>
      <c r="AD18" s="2">
        <f t="shared" si="11"/>
        <v>27.95</v>
      </c>
      <c r="AE18" s="2">
        <f t="shared" si="12"/>
        <v>4.61852778244065e-14</v>
      </c>
    </row>
    <row r="19" spans="1:31">
      <c r="A19" s="2">
        <v>19500</v>
      </c>
      <c r="Q19" s="2">
        <v>34</v>
      </c>
      <c r="R19" s="4">
        <v>0.3</v>
      </c>
      <c r="S19" s="2">
        <f t="shared" si="0"/>
        <v>0.244761874647886</v>
      </c>
      <c r="T19" s="2">
        <f t="shared" si="1"/>
        <v>0.228732943524831</v>
      </c>
      <c r="U19" s="2">
        <f t="shared" si="2"/>
        <v>0.226932055390742</v>
      </c>
      <c r="V19" s="2">
        <f t="shared" si="3"/>
        <v>0.226908789055382</v>
      </c>
      <c r="W19" s="2">
        <f t="shared" si="4"/>
        <v>0.226908785175421</v>
      </c>
      <c r="X19" s="2">
        <f t="shared" si="5"/>
        <v>0.22690878517542</v>
      </c>
      <c r="Y19" s="2">
        <f t="shared" si="6"/>
        <v>0.22690878517542</v>
      </c>
      <c r="Z19" s="2">
        <f t="shared" si="7"/>
        <v>1.86114642335836</v>
      </c>
      <c r="AA19" s="2">
        <f t="shared" si="8"/>
        <v>1.74769203077065</v>
      </c>
      <c r="AB19" s="2">
        <f t="shared" si="9"/>
        <v>0.0313617509626502</v>
      </c>
      <c r="AC19" s="2">
        <f t="shared" si="10"/>
        <v>0.0402586847538591</v>
      </c>
      <c r="AD19" s="2">
        <f t="shared" si="11"/>
        <v>33.9999999999997</v>
      </c>
      <c r="AE19" s="2">
        <f t="shared" si="12"/>
        <v>-3.41060513164848e-13</v>
      </c>
    </row>
    <row r="20" spans="1:31">
      <c r="A20" s="2">
        <v>20000</v>
      </c>
      <c r="B20" s="2">
        <v>3465.2</v>
      </c>
      <c r="C20" s="4">
        <v>0.3</v>
      </c>
      <c r="D20" s="2">
        <f t="shared" ref="D20:D37" si="13">IFERROR(MEDIAN(0.0001,5,C20-(($B$6*NORMSDIST((LN($B$6/A20)+($B$5+C20^2/2)*$B$4)/(C20*SQRT($B$4)))-A20*EXP(-$B$5*$B$4)*NORMSDIST(((LN($B$6/A20)+($B$5+C20^2/2)*$B$4)/(C20*SQRT($B$4))-C20*SQRT($B$4))))-B20)/($B$6*SQRT($B$4)*NORMDIST((LN($B$6/A20)+($B$5+C20^2/2)*$B$4)/(C20*SQRT($B$4)),0,1,FALSE()))),C20)</f>
        <v>0.0212238899077256</v>
      </c>
      <c r="E20" s="2">
        <f t="shared" ref="E20:E37" si="14">IFERROR(MEDIAN(0.0001,5,D20-(($B$6*NORMSDIST((LN($B$6/A20)+($B$5+D20^2/2)*$B$4)/(D20*SQRT($B$4)))-A20*EXP(-$B$5*$B$4)*NORMSDIST(((LN($B$6/A20)+($B$5+D20^2/2)*$B$4)/(D20*SQRT($B$4))-D20*SQRT($B$4))))-B20)/($B$6*SQRT($B$4)*NORMDIST((LN($B$6/A20)+($B$5+D20^2/2)*$B$4)/(D20*SQRT($B$4)),0,1,FALSE()))),D20)</f>
        <v>0.0001</v>
      </c>
      <c r="F20" s="2">
        <f t="shared" ref="F20:F37" si="15">IFERROR(MEDIAN(0.0001,5,E20-(($B$6*NORMSDIST((LN($B$6/A20)+($B$5+E20^2/2)*$B$4)/(E20*SQRT($B$4)))-A20*EXP(-$B$5*$B$4)*NORMSDIST(((LN($B$6/A20)+($B$5+E20^2/2)*$B$4)/(E20*SQRT($B$4))-E20*SQRT($B$4))))-B20)/($B$6*SQRT($B$4)*NORMDIST((LN($B$6/A20)+($B$5+E20^2/2)*$B$4)/(E20*SQRT($B$4)),0,1,FALSE()))),E20)</f>
        <v>0.0001</v>
      </c>
      <c r="G20" s="2">
        <f t="shared" ref="G20:G37" si="16">IFERROR(MEDIAN(0.0001,5,F20-(($B$6*NORMSDIST((LN($B$6/A20)+($B$5+F20^2/2)*$B$4)/(F20*SQRT($B$4)))-A20*EXP(-$B$5*$B$4)*NORMSDIST(((LN($B$6/A20)+($B$5+F20^2/2)*$B$4)/(F20*SQRT($B$4))-F20*SQRT($B$4))))-B20)/($B$6*SQRT($B$4)*NORMDIST((LN($B$6/A20)+($B$5+F20^2/2)*$B$4)/(F20*SQRT($B$4)),0,1,FALSE()))),F20)</f>
        <v>0.0001</v>
      </c>
      <c r="H20" s="2">
        <f t="shared" ref="H20:H37" si="17">IFERROR(MEDIAN(0.0001,5,G20-(($B$6*NORMSDIST((LN($B$6/A20)+($B$5+G20^2/2)*$B$4)/(G20*SQRT($B$4)))-A20*EXP(-$B$5*$B$4)*NORMSDIST(((LN($B$6/A20)+($B$5+G20^2/2)*$B$4)/(G20*SQRT($B$4))-G20*SQRT($B$4))))-B20)/($B$6*SQRT($B$4)*NORMDIST((LN($B$6/A20)+($B$5+G20^2/2)*$B$4)/(G20*SQRT($B$4)),0,1,FALSE()))),G20)</f>
        <v>0.0001</v>
      </c>
      <c r="I20" s="2">
        <f t="shared" ref="I20:I37" si="18">IFERROR(MEDIAN(0.0001,5,H20-(($B$6*NORMSDIST((LN($B$6/A20)+($B$5+H20^2/2)*$B$4)/(H20*SQRT($B$4)))-A20*EXP(-$B$5*$B$4)*NORMSDIST(((LN($B$6/A20)+($B$5+H20^2/2)*$B$4)/(H20*SQRT($B$4))-H20*SQRT($B$4))))-B20)/($B$6*SQRT($B$4)*NORMDIST((LN($B$6/A20)+($B$5+H20^2/2)*$B$4)/(H20*SQRT($B$4)),0,1,FALSE()))),H20)</f>
        <v>0.0001</v>
      </c>
      <c r="J20" s="2">
        <f t="shared" ref="J20:J37" si="19">IFERROR(MEDIAN(0.0001,5,I20-(($B$6*NORMSDIST((LN($B$6/A20)+($B$5+I20^2/2)*$B$4)/(I20*SQRT($B$4)))-A20*EXP(-$B$5*$B$4)*NORMSDIST(((LN($B$6/A20)+($B$5+I20^2/2)*$B$4)/(I20*SQRT($B$4))-I20*SQRT($B$4))))-B20)/($B$6*SQRT($B$4)*NORMDIST((LN($B$6/A20)+($B$5+I20^2/2)*$B$4)/(I20*SQRT($B$4)),0,1,FALSE()))),I20)</f>
        <v>0.0001</v>
      </c>
      <c r="K20" s="2">
        <f t="shared" ref="K20:K37" si="20">(LN($B$6/A20)+($B$5+J20^2/2)*$B$4)/(J20*SQRT($B$4))</f>
        <v>3588.02961291798</v>
      </c>
      <c r="L20" s="2">
        <f t="shared" ref="L20:L37" si="21">K20-J20*SQRT($B$4)</f>
        <v>3588.02956291798</v>
      </c>
      <c r="M20" s="2">
        <f t="shared" ref="M20:M37" si="22">NORMSDIST(K20)</f>
        <v>1</v>
      </c>
      <c r="N20" s="2">
        <f t="shared" ref="N20:N37" si="23">NORMSDIST(L20)</f>
        <v>1</v>
      </c>
      <c r="O20" s="2">
        <f t="shared" ref="O20:O37" si="24">$B$6*M20-A20*EXP(-$B$5*$B$4)*N20</f>
        <v>3866.67362046625</v>
      </c>
      <c r="P20" s="2">
        <f t="shared" ref="P20:P37" si="25">O20-B20</f>
        <v>401.473620466252</v>
      </c>
      <c r="Q20" s="2">
        <v>44.75</v>
      </c>
      <c r="R20" s="4">
        <v>0.3</v>
      </c>
      <c r="S20" s="2">
        <f t="shared" si="0"/>
        <v>0.23432254199457</v>
      </c>
      <c r="T20" s="2">
        <f t="shared" si="1"/>
        <v>0.216265211192676</v>
      </c>
      <c r="U20" s="2">
        <f t="shared" si="2"/>
        <v>0.214238197889554</v>
      </c>
      <c r="V20" s="2">
        <f t="shared" si="3"/>
        <v>0.214211365795699</v>
      </c>
      <c r="W20" s="2">
        <f t="shared" si="4"/>
        <v>0.214211361085794</v>
      </c>
      <c r="X20" s="2">
        <f t="shared" si="5"/>
        <v>0.214211361085794</v>
      </c>
      <c r="Y20" s="2">
        <f t="shared" si="6"/>
        <v>0.214211361085794</v>
      </c>
      <c r="Z20" s="2">
        <f t="shared" si="7"/>
        <v>1.72854784041102</v>
      </c>
      <c r="AA20" s="2">
        <f t="shared" si="8"/>
        <v>1.62144215986812</v>
      </c>
      <c r="AB20" s="2">
        <f t="shared" si="9"/>
        <v>0.0419450258804609</v>
      </c>
      <c r="AC20" s="2">
        <f t="shared" si="10"/>
        <v>0.0524614225784379</v>
      </c>
      <c r="AD20" s="2">
        <f t="shared" si="11"/>
        <v>44.75</v>
      </c>
      <c r="AE20" s="2">
        <f t="shared" si="12"/>
        <v>0</v>
      </c>
    </row>
    <row r="21" spans="1:31">
      <c r="A21" s="2">
        <v>21000</v>
      </c>
      <c r="B21" s="2">
        <v>2544.4</v>
      </c>
      <c r="C21" s="4">
        <v>0.3</v>
      </c>
      <c r="D21" s="2">
        <f t="shared" si="13"/>
        <v>0.0708042680113295</v>
      </c>
      <c r="E21" s="2">
        <f t="shared" si="14"/>
        <v>0.0001</v>
      </c>
      <c r="F21" s="2">
        <f t="shared" si="15"/>
        <v>0.0001</v>
      </c>
      <c r="G21" s="2">
        <f t="shared" si="16"/>
        <v>0.0001</v>
      </c>
      <c r="H21" s="2">
        <f t="shared" si="17"/>
        <v>0.0001</v>
      </c>
      <c r="I21" s="2">
        <f t="shared" si="18"/>
        <v>0.0001</v>
      </c>
      <c r="J21" s="2">
        <f t="shared" si="19"/>
        <v>0.0001</v>
      </c>
      <c r="K21" s="2">
        <f t="shared" si="20"/>
        <v>2612.22632952934</v>
      </c>
      <c r="L21" s="2">
        <f t="shared" si="21"/>
        <v>2612.22627952933</v>
      </c>
      <c r="M21" s="2">
        <f t="shared" si="22"/>
        <v>1</v>
      </c>
      <c r="N21" s="2">
        <f t="shared" si="23"/>
        <v>1</v>
      </c>
      <c r="O21" s="2">
        <f t="shared" si="24"/>
        <v>2882.79230148956</v>
      </c>
      <c r="P21" s="2">
        <f t="shared" si="25"/>
        <v>338.392301489564</v>
      </c>
      <c r="Q21" s="2">
        <v>72.55</v>
      </c>
      <c r="R21" s="4">
        <v>0.3</v>
      </c>
      <c r="S21" s="2">
        <f t="shared" si="0"/>
        <v>0.207651997084231</v>
      </c>
      <c r="T21" s="2">
        <f t="shared" si="1"/>
        <v>0.186929111369575</v>
      </c>
      <c r="U21" s="2">
        <f t="shared" si="2"/>
        <v>0.184870666699484</v>
      </c>
      <c r="V21" s="2">
        <f t="shared" si="3"/>
        <v>0.184847983337419</v>
      </c>
      <c r="W21" s="2">
        <f t="shared" si="4"/>
        <v>0.184847980561149</v>
      </c>
      <c r="X21" s="2">
        <f t="shared" si="5"/>
        <v>0.184847980561148</v>
      </c>
      <c r="Y21" s="2">
        <f t="shared" si="6"/>
        <v>0.184847980561148</v>
      </c>
      <c r="Z21" s="2">
        <f t="shared" si="7"/>
        <v>1.4593874578093</v>
      </c>
      <c r="AA21" s="2">
        <f t="shared" si="8"/>
        <v>1.36696346752873</v>
      </c>
      <c r="AB21" s="2">
        <f t="shared" si="9"/>
        <v>0.0722292480384957</v>
      </c>
      <c r="AC21" s="2">
        <f t="shared" si="10"/>
        <v>0.0858183783326027</v>
      </c>
      <c r="AD21" s="2">
        <f t="shared" si="11"/>
        <v>72.5499999999984</v>
      </c>
      <c r="AE21" s="2">
        <f t="shared" si="12"/>
        <v>-1.63424829224823e-12</v>
      </c>
    </row>
    <row r="22" spans="1:31">
      <c r="A22" s="2">
        <v>22000</v>
      </c>
      <c r="B22" s="2">
        <v>1624.4</v>
      </c>
      <c r="C22" s="4">
        <v>0.3</v>
      </c>
      <c r="D22" s="2">
        <f t="shared" si="13"/>
        <v>0.0700956202224954</v>
      </c>
      <c r="E22" s="2">
        <f t="shared" si="14"/>
        <v>0.0001</v>
      </c>
      <c r="F22" s="2">
        <f t="shared" si="15"/>
        <v>0.0001</v>
      </c>
      <c r="G22" s="2">
        <f t="shared" si="16"/>
        <v>0.0001</v>
      </c>
      <c r="H22" s="2">
        <f t="shared" si="17"/>
        <v>0.0001</v>
      </c>
      <c r="I22" s="2">
        <f t="shared" si="18"/>
        <v>0.0001</v>
      </c>
      <c r="J22" s="2">
        <f t="shared" si="19"/>
        <v>0.0001</v>
      </c>
      <c r="K22" s="2">
        <f t="shared" si="20"/>
        <v>1681.82601683148</v>
      </c>
      <c r="L22" s="2">
        <f t="shared" si="21"/>
        <v>1681.82596683148</v>
      </c>
      <c r="M22" s="2">
        <f t="shared" si="22"/>
        <v>1</v>
      </c>
      <c r="N22" s="2">
        <f t="shared" si="23"/>
        <v>1</v>
      </c>
      <c r="O22" s="2">
        <f t="shared" si="24"/>
        <v>1898.91098251288</v>
      </c>
      <c r="P22" s="2">
        <f t="shared" si="25"/>
        <v>274.510982512876</v>
      </c>
      <c r="Q22" s="2">
        <v>145.6</v>
      </c>
      <c r="R22" s="4">
        <v>0.3</v>
      </c>
      <c r="S22" s="2">
        <f t="shared" si="0"/>
        <v>0.179573231825407</v>
      </c>
      <c r="T22" s="2">
        <f t="shared" si="1"/>
        <v>0.164214349110797</v>
      </c>
      <c r="U22" s="2">
        <f t="shared" si="2"/>
        <v>0.163548078943196</v>
      </c>
      <c r="V22" s="2">
        <f t="shared" si="3"/>
        <v>0.163546653633673</v>
      </c>
      <c r="W22" s="2">
        <f t="shared" si="4"/>
        <v>0.163546653627116</v>
      </c>
      <c r="X22" s="2">
        <f t="shared" si="5"/>
        <v>0.163546653627115</v>
      </c>
      <c r="Y22" s="2">
        <f t="shared" si="6"/>
        <v>0.163546653627115</v>
      </c>
      <c r="Z22" s="2">
        <f t="shared" si="7"/>
        <v>1.06923298204563</v>
      </c>
      <c r="AA22" s="2">
        <f t="shared" si="8"/>
        <v>0.987459655232077</v>
      </c>
      <c r="AB22" s="2">
        <f t="shared" si="9"/>
        <v>0.142482350207026</v>
      </c>
      <c r="AC22" s="2">
        <f t="shared" si="10"/>
        <v>0.161708675928691</v>
      </c>
      <c r="AD22" s="2">
        <f t="shared" si="11"/>
        <v>145.6</v>
      </c>
      <c r="AE22" s="2">
        <f t="shared" si="12"/>
        <v>0</v>
      </c>
    </row>
    <row r="23" spans="1:31">
      <c r="A23" s="2">
        <v>22500</v>
      </c>
      <c r="B23" s="2">
        <v>1205.6</v>
      </c>
      <c r="C23" s="4">
        <v>0.3</v>
      </c>
      <c r="D23" s="2">
        <f t="shared" si="13"/>
        <v>0.0659639801547297</v>
      </c>
      <c r="E23" s="2">
        <f t="shared" si="14"/>
        <v>0.0001</v>
      </c>
      <c r="F23" s="2">
        <f t="shared" si="15"/>
        <v>0.0001</v>
      </c>
      <c r="G23" s="2">
        <f t="shared" si="16"/>
        <v>0.0001</v>
      </c>
      <c r="H23" s="2">
        <f t="shared" si="17"/>
        <v>0.0001</v>
      </c>
      <c r="I23" s="2">
        <f t="shared" si="18"/>
        <v>0.0001</v>
      </c>
      <c r="J23" s="2">
        <f t="shared" si="19"/>
        <v>0.0001</v>
      </c>
      <c r="K23" s="2">
        <f t="shared" si="20"/>
        <v>1232.36889979031</v>
      </c>
      <c r="L23" s="2">
        <f t="shared" si="21"/>
        <v>1232.36884979031</v>
      </c>
      <c r="M23" s="2">
        <f t="shared" si="22"/>
        <v>1</v>
      </c>
      <c r="N23" s="2">
        <f t="shared" si="23"/>
        <v>1</v>
      </c>
      <c r="O23" s="2">
        <f t="shared" si="24"/>
        <v>1406.97032302453</v>
      </c>
      <c r="P23" s="2">
        <f t="shared" si="25"/>
        <v>201.370323024532</v>
      </c>
      <c r="Q23" s="2">
        <v>217.2</v>
      </c>
      <c r="R23" s="4">
        <v>0.3</v>
      </c>
      <c r="S23" s="2">
        <f t="shared" si="0"/>
        <v>0.166251639741735</v>
      </c>
      <c r="T23" s="2">
        <f t="shared" si="1"/>
        <v>0.156018483423615</v>
      </c>
      <c r="U23" s="2">
        <f t="shared" si="2"/>
        <v>0.155829964538282</v>
      </c>
      <c r="V23" s="2">
        <f t="shared" si="3"/>
        <v>0.155829893528576</v>
      </c>
      <c r="W23" s="2">
        <f t="shared" si="4"/>
        <v>0.155829893528566</v>
      </c>
      <c r="X23" s="2">
        <f t="shared" si="5"/>
        <v>0.155829893528566</v>
      </c>
      <c r="Y23" s="2">
        <f t="shared" si="6"/>
        <v>0.155829893528566</v>
      </c>
      <c r="Z23" s="2">
        <f t="shared" si="7"/>
        <v>0.829799876521175</v>
      </c>
      <c r="AA23" s="2">
        <f t="shared" si="8"/>
        <v>0.751884929756892</v>
      </c>
      <c r="AB23" s="2">
        <f t="shared" si="9"/>
        <v>0.203325970329669</v>
      </c>
      <c r="AC23" s="2">
        <f t="shared" si="10"/>
        <v>0.22606013084034</v>
      </c>
      <c r="AD23" s="2">
        <f t="shared" si="11"/>
        <v>217.199999999998</v>
      </c>
      <c r="AE23" s="2">
        <f t="shared" si="12"/>
        <v>-1.98951966012828e-12</v>
      </c>
    </row>
    <row r="24" spans="1:31">
      <c r="A24" s="2">
        <v>23000</v>
      </c>
      <c r="B24" s="2">
        <v>851</v>
      </c>
      <c r="C24" s="4">
        <v>0.3</v>
      </c>
      <c r="D24" s="2">
        <f t="shared" si="13"/>
        <v>0.0666577167356093</v>
      </c>
      <c r="E24" s="2">
        <f t="shared" si="14"/>
        <v>0.0190101157954992</v>
      </c>
      <c r="F24" s="2">
        <f t="shared" si="15"/>
        <v>0.0001</v>
      </c>
      <c r="G24" s="2">
        <f t="shared" si="16"/>
        <v>0.0001</v>
      </c>
      <c r="H24" s="2">
        <f t="shared" si="17"/>
        <v>0.0001</v>
      </c>
      <c r="I24" s="2">
        <f t="shared" si="18"/>
        <v>0.0001</v>
      </c>
      <c r="J24" s="2">
        <f t="shared" si="19"/>
        <v>0.0001</v>
      </c>
      <c r="K24" s="2">
        <f t="shared" si="20"/>
        <v>792.790765414803</v>
      </c>
      <c r="L24" s="2">
        <f t="shared" si="21"/>
        <v>792.790715414803</v>
      </c>
      <c r="M24" s="2">
        <f t="shared" si="22"/>
        <v>1</v>
      </c>
      <c r="N24" s="2">
        <f t="shared" si="23"/>
        <v>1</v>
      </c>
      <c r="O24" s="2">
        <f t="shared" si="24"/>
        <v>915.029663536188</v>
      </c>
      <c r="P24" s="2">
        <f t="shared" si="25"/>
        <v>64.0296635361883</v>
      </c>
      <c r="Q24" s="2">
        <v>337.1</v>
      </c>
      <c r="R24" s="4">
        <v>0.3</v>
      </c>
      <c r="S24" s="2">
        <f t="shared" si="0"/>
        <v>0.157129369699634</v>
      </c>
      <c r="T24" s="2">
        <f t="shared" si="1"/>
        <v>0.152459616204423</v>
      </c>
      <c r="U24" s="2">
        <f t="shared" si="2"/>
        <v>0.152441420975503</v>
      </c>
      <c r="V24" s="2">
        <f t="shared" si="3"/>
        <v>0.152441420683451</v>
      </c>
      <c r="W24" s="2">
        <f t="shared" si="4"/>
        <v>0.152441420683451</v>
      </c>
      <c r="X24" s="2">
        <f t="shared" si="5"/>
        <v>0.152441420683451</v>
      </c>
      <c r="Y24" s="2">
        <f t="shared" si="6"/>
        <v>0.152441420683451</v>
      </c>
      <c r="Z24" s="2">
        <f t="shared" si="7"/>
        <v>0.558172905664312</v>
      </c>
      <c r="AA24" s="2">
        <f t="shared" si="8"/>
        <v>0.481952195322586</v>
      </c>
      <c r="AB24" s="2">
        <f t="shared" si="9"/>
        <v>0.288363160220609</v>
      </c>
      <c r="AC24" s="2">
        <f t="shared" si="10"/>
        <v>0.314919953105996</v>
      </c>
      <c r="AD24" s="2">
        <f t="shared" si="11"/>
        <v>337.100000000001</v>
      </c>
      <c r="AE24" s="2">
        <f t="shared" si="12"/>
        <v>1.25055521493778e-12</v>
      </c>
    </row>
    <row r="25" spans="1:31">
      <c r="A25" s="2">
        <v>24000</v>
      </c>
      <c r="B25" s="2">
        <v>318.3</v>
      </c>
      <c r="C25" s="4">
        <v>0.3</v>
      </c>
      <c r="D25" s="2">
        <f t="shared" si="13"/>
        <v>0.0745440740797011</v>
      </c>
      <c r="E25" s="2">
        <f t="shared" si="14"/>
        <v>0.0747722224640722</v>
      </c>
      <c r="F25" s="2">
        <f t="shared" si="15"/>
        <v>0.0747722204490525</v>
      </c>
      <c r="G25" s="2">
        <f t="shared" si="16"/>
        <v>0.0747722204490522</v>
      </c>
      <c r="H25" s="2">
        <f t="shared" si="17"/>
        <v>0.074772220449052</v>
      </c>
      <c r="I25" s="2">
        <f t="shared" si="18"/>
        <v>0.0747722204490518</v>
      </c>
      <c r="J25" s="2">
        <f t="shared" si="19"/>
        <v>0.0747722204490523</v>
      </c>
      <c r="K25" s="2">
        <f t="shared" si="20"/>
        <v>-0.0594128879911781</v>
      </c>
      <c r="L25" s="2">
        <f t="shared" si="21"/>
        <v>-0.0967989982157042</v>
      </c>
      <c r="M25" s="2">
        <f t="shared" si="22"/>
        <v>0.476311624030577</v>
      </c>
      <c r="N25" s="2">
        <f t="shared" si="23"/>
        <v>0.461443009753958</v>
      </c>
      <c r="O25" s="2">
        <f t="shared" si="24"/>
        <v>318.300000000001</v>
      </c>
      <c r="P25" s="2">
        <f t="shared" si="25"/>
        <v>1.08002495835535e-12</v>
      </c>
      <c r="Q25" s="2">
        <v>774</v>
      </c>
      <c r="R25" s="4">
        <v>0.3</v>
      </c>
      <c r="S25" s="2">
        <f t="shared" si="0"/>
        <v>0.157042288475538</v>
      </c>
      <c r="T25" s="2">
        <f t="shared" si="1"/>
        <v>0.157178662433658</v>
      </c>
      <c r="U25" s="2">
        <f t="shared" si="2"/>
        <v>0.157178662443136</v>
      </c>
      <c r="V25" s="2">
        <f t="shared" si="3"/>
        <v>0.157178662443136</v>
      </c>
      <c r="W25" s="2">
        <f t="shared" si="4"/>
        <v>0.157178662443136</v>
      </c>
      <c r="X25" s="2">
        <f t="shared" si="5"/>
        <v>0.157178662443136</v>
      </c>
      <c r="Y25" s="2">
        <f t="shared" si="6"/>
        <v>0.157178662443136</v>
      </c>
      <c r="Z25" s="2">
        <f t="shared" si="7"/>
        <v>0.00213851028197453</v>
      </c>
      <c r="AA25" s="2">
        <f t="shared" si="8"/>
        <v>-0.0764508209395932</v>
      </c>
      <c r="AB25" s="2">
        <f t="shared" si="9"/>
        <v>0.499146858481715</v>
      </c>
      <c r="AC25" s="2">
        <f t="shared" si="10"/>
        <v>0.530469780693804</v>
      </c>
      <c r="AD25" s="2">
        <f t="shared" si="11"/>
        <v>774</v>
      </c>
      <c r="AE25" s="2">
        <f t="shared" si="12"/>
        <v>0</v>
      </c>
    </row>
    <row r="26" spans="1:31">
      <c r="A26" s="2">
        <v>25000</v>
      </c>
      <c r="B26" s="2">
        <v>87.95</v>
      </c>
      <c r="C26" s="4">
        <v>0.3</v>
      </c>
      <c r="D26" s="2">
        <f t="shared" si="13"/>
        <v>0.107000350185161</v>
      </c>
      <c r="E26" s="2">
        <f t="shared" si="14"/>
        <v>0.0889409397450036</v>
      </c>
      <c r="F26" s="2">
        <f t="shared" si="15"/>
        <v>0.0875841544761389</v>
      </c>
      <c r="G26" s="2">
        <f t="shared" si="16"/>
        <v>0.0875738888247913</v>
      </c>
      <c r="H26" s="2">
        <f t="shared" si="17"/>
        <v>0.0875738882247231</v>
      </c>
      <c r="I26" s="2">
        <f t="shared" si="18"/>
        <v>0.0875738882247227</v>
      </c>
      <c r="J26" s="2">
        <f t="shared" si="19"/>
        <v>0.0875738882247227</v>
      </c>
      <c r="K26" s="2">
        <f t="shared" si="20"/>
        <v>-0.977081743160134</v>
      </c>
      <c r="L26" s="2">
        <f t="shared" si="21"/>
        <v>-1.0208686872725</v>
      </c>
      <c r="M26" s="2">
        <f t="shared" si="22"/>
        <v>0.16426434269319</v>
      </c>
      <c r="N26" s="2">
        <f t="shared" si="23"/>
        <v>0.153658328124465</v>
      </c>
      <c r="O26" s="2">
        <f t="shared" si="24"/>
        <v>87.9499999999985</v>
      </c>
      <c r="P26" s="2">
        <f t="shared" si="25"/>
        <v>-1.54898316395702e-12</v>
      </c>
      <c r="Q26" s="2">
        <v>1502.7</v>
      </c>
      <c r="R26" s="4">
        <v>0.3</v>
      </c>
      <c r="S26" s="2">
        <f t="shared" si="0"/>
        <v>0.185913981150087</v>
      </c>
      <c r="T26" s="2">
        <f t="shared" si="1"/>
        <v>0.18290544212684</v>
      </c>
      <c r="U26" s="2">
        <f t="shared" si="2"/>
        <v>0.182900002376916</v>
      </c>
      <c r="V26" s="2">
        <f t="shared" si="3"/>
        <v>0.18290000235858</v>
      </c>
      <c r="W26" s="2">
        <f t="shared" si="4"/>
        <v>0.18290000235858</v>
      </c>
      <c r="X26" s="2">
        <f t="shared" si="5"/>
        <v>0.18290000235858</v>
      </c>
      <c r="Y26" s="2">
        <f t="shared" si="6"/>
        <v>0.18290000235858</v>
      </c>
      <c r="Z26" s="2">
        <f t="shared" si="7"/>
        <v>-0.432591799347336</v>
      </c>
      <c r="AA26" s="2">
        <f t="shared" si="8"/>
        <v>-0.524041800526625</v>
      </c>
      <c r="AB26" s="2">
        <f t="shared" si="9"/>
        <v>0.66734432592523</v>
      </c>
      <c r="AC26" s="2">
        <f t="shared" si="10"/>
        <v>0.699875266695221</v>
      </c>
      <c r="AD26" s="2">
        <f t="shared" si="11"/>
        <v>1502.7</v>
      </c>
      <c r="AE26" s="2">
        <f t="shared" si="12"/>
        <v>0</v>
      </c>
    </row>
    <row r="27" spans="1:31">
      <c r="A27" s="2">
        <v>25500</v>
      </c>
      <c r="B27" s="2">
        <v>44.5</v>
      </c>
      <c r="C27" s="4">
        <v>0.3</v>
      </c>
      <c r="D27" s="2">
        <f t="shared" si="13"/>
        <v>0.126862881415469</v>
      </c>
      <c r="E27" s="2">
        <f t="shared" si="14"/>
        <v>0.0984121611944454</v>
      </c>
      <c r="F27" s="2">
        <f t="shared" si="15"/>
        <v>0.0932156915869611</v>
      </c>
      <c r="G27" s="2">
        <f t="shared" si="16"/>
        <v>0.0929581621508184</v>
      </c>
      <c r="H27" s="2">
        <f t="shared" si="17"/>
        <v>0.0929574969636793</v>
      </c>
      <c r="I27" s="2">
        <f t="shared" si="18"/>
        <v>0.092957496959232</v>
      </c>
      <c r="J27" s="2">
        <f t="shared" si="19"/>
        <v>0.0929574969592315</v>
      </c>
      <c r="K27" s="2">
        <f t="shared" si="20"/>
        <v>-1.3439381271587</v>
      </c>
      <c r="L27" s="2">
        <f t="shared" si="21"/>
        <v>-1.39041687563831</v>
      </c>
      <c r="M27" s="2">
        <f t="shared" si="22"/>
        <v>0.0894841977652159</v>
      </c>
      <c r="N27" s="2">
        <f t="shared" si="23"/>
        <v>0.0822011624523571</v>
      </c>
      <c r="O27" s="2">
        <f t="shared" si="24"/>
        <v>44.4999999999995</v>
      </c>
      <c r="P27" s="2">
        <f t="shared" si="25"/>
        <v>-4.54747350886464e-13</v>
      </c>
      <c r="Q27" s="2">
        <v>1953.3</v>
      </c>
      <c r="R27" s="4">
        <v>0.3</v>
      </c>
      <c r="S27" s="2">
        <f t="shared" si="0"/>
        <v>0.209253767849586</v>
      </c>
      <c r="T27" s="2">
        <f t="shared" si="1"/>
        <v>0.205558650999556</v>
      </c>
      <c r="U27" s="2">
        <f t="shared" si="2"/>
        <v>0.205546434896253</v>
      </c>
      <c r="V27" s="2">
        <f t="shared" si="3"/>
        <v>0.205546434758447</v>
      </c>
      <c r="W27" s="2">
        <f t="shared" si="4"/>
        <v>0.205546434758447</v>
      </c>
      <c r="X27" s="2">
        <f t="shared" si="5"/>
        <v>0.205546434758447</v>
      </c>
      <c r="Y27" s="2">
        <f t="shared" si="6"/>
        <v>0.205546434758447</v>
      </c>
      <c r="Z27" s="2">
        <f t="shared" si="7"/>
        <v>-0.566913575297202</v>
      </c>
      <c r="AA27" s="2">
        <f t="shared" si="8"/>
        <v>-0.669686792676426</v>
      </c>
      <c r="AB27" s="2">
        <f t="shared" si="9"/>
        <v>0.714613549726233</v>
      </c>
      <c r="AC27" s="2">
        <f t="shared" si="10"/>
        <v>0.748471263624831</v>
      </c>
      <c r="AD27" s="2">
        <f t="shared" si="11"/>
        <v>1953.3</v>
      </c>
      <c r="AE27" s="2">
        <f t="shared" si="12"/>
        <v>0</v>
      </c>
    </row>
    <row r="28" spans="1:31">
      <c r="A28" s="2">
        <v>26000</v>
      </c>
      <c r="B28" s="2">
        <v>30</v>
      </c>
      <c r="C28" s="4">
        <v>0.3</v>
      </c>
      <c r="D28" s="2">
        <f t="shared" si="13"/>
        <v>0.147546807140429</v>
      </c>
      <c r="E28" s="2">
        <f t="shared" si="14"/>
        <v>0.113589690684914</v>
      </c>
      <c r="F28" s="2">
        <f t="shared" si="15"/>
        <v>0.104898682297238</v>
      </c>
      <c r="G28" s="2">
        <f t="shared" si="16"/>
        <v>0.104028603935902</v>
      </c>
      <c r="H28" s="2">
        <f t="shared" si="17"/>
        <v>0.104019374044626</v>
      </c>
      <c r="I28" s="2">
        <f t="shared" si="18"/>
        <v>0.10401937300298</v>
      </c>
      <c r="J28" s="2">
        <f t="shared" si="19"/>
        <v>0.10401937300298</v>
      </c>
      <c r="K28" s="2">
        <f t="shared" si="20"/>
        <v>-1.5691361901261</v>
      </c>
      <c r="L28" s="2">
        <f t="shared" si="21"/>
        <v>-1.62114587662759</v>
      </c>
      <c r="M28" s="2">
        <f t="shared" si="22"/>
        <v>0.0583081043399373</v>
      </c>
      <c r="N28" s="2">
        <f t="shared" si="23"/>
        <v>0.0524931785318386</v>
      </c>
      <c r="O28" s="2">
        <f t="shared" si="24"/>
        <v>29.9999999999995</v>
      </c>
      <c r="P28" s="2">
        <f t="shared" si="25"/>
        <v>-4.54747350886464e-13</v>
      </c>
      <c r="Q28" s="2">
        <v>2414.3</v>
      </c>
      <c r="R28" s="4">
        <v>0.3</v>
      </c>
      <c r="S28" s="2">
        <f t="shared" si="0"/>
        <v>0.230542078613375</v>
      </c>
      <c r="T28" s="2">
        <f t="shared" si="1"/>
        <v>0.22714544540196</v>
      </c>
      <c r="U28" s="2">
        <f t="shared" si="2"/>
        <v>0.227132305243725</v>
      </c>
      <c r="V28" s="2">
        <f t="shared" si="3"/>
        <v>0.227132305042127</v>
      </c>
      <c r="W28" s="2">
        <f t="shared" si="4"/>
        <v>0.227132305042125</v>
      </c>
      <c r="X28" s="2">
        <f t="shared" si="5"/>
        <v>0.227132305042126</v>
      </c>
      <c r="Y28" s="2">
        <f t="shared" si="6"/>
        <v>0.227132305042126</v>
      </c>
      <c r="Z28" s="2">
        <f t="shared" si="7"/>
        <v>-0.673740792250426</v>
      </c>
      <c r="AA28" s="2">
        <f t="shared" si="8"/>
        <v>-0.787306944771488</v>
      </c>
      <c r="AB28" s="2">
        <f t="shared" si="9"/>
        <v>0.749761938608184</v>
      </c>
      <c r="AC28" s="2">
        <f t="shared" si="10"/>
        <v>0.784448897370132</v>
      </c>
      <c r="AD28" s="2">
        <f t="shared" si="11"/>
        <v>2414.3</v>
      </c>
      <c r="AE28" s="2">
        <f t="shared" si="12"/>
        <v>0</v>
      </c>
    </row>
    <row r="29" spans="1:31">
      <c r="A29" s="2">
        <v>27000</v>
      </c>
      <c r="B29" s="2">
        <v>12.1</v>
      </c>
      <c r="C29" s="4">
        <v>0.3</v>
      </c>
      <c r="D29" s="2">
        <f t="shared" si="13"/>
        <v>0.179294875897343</v>
      </c>
      <c r="E29" s="2">
        <f t="shared" si="14"/>
        <v>0.139437892999016</v>
      </c>
      <c r="F29" s="2">
        <f t="shared" si="15"/>
        <v>0.123798199809672</v>
      </c>
      <c r="G29" s="2">
        <f t="shared" si="16"/>
        <v>0.119895002992037</v>
      </c>
      <c r="H29" s="2">
        <f t="shared" si="17"/>
        <v>0.11963214360412</v>
      </c>
      <c r="I29" s="2">
        <f t="shared" si="18"/>
        <v>0.119630966131272</v>
      </c>
      <c r="J29" s="2">
        <f t="shared" si="19"/>
        <v>0.119630966107681</v>
      </c>
      <c r="K29" s="2">
        <f t="shared" si="20"/>
        <v>-1.98801649634629</v>
      </c>
      <c r="L29" s="2">
        <f t="shared" si="21"/>
        <v>-2.04783197940013</v>
      </c>
      <c r="M29" s="2">
        <f t="shared" si="22"/>
        <v>0.0234049327791422</v>
      </c>
      <c r="N29" s="2">
        <f t="shared" si="23"/>
        <v>0.0202882328438086</v>
      </c>
      <c r="O29" s="2">
        <f t="shared" si="24"/>
        <v>12.0999999999999</v>
      </c>
      <c r="P29" s="2">
        <f t="shared" si="25"/>
        <v>-9.05941988094128e-14</v>
      </c>
      <c r="Q29" s="2">
        <v>3360.35</v>
      </c>
      <c r="R29" s="4">
        <v>0.3</v>
      </c>
      <c r="S29" s="2">
        <f t="shared" si="0"/>
        <v>0.270370330664631</v>
      </c>
      <c r="T29" s="2">
        <f t="shared" si="1"/>
        <v>0.269273136128751</v>
      </c>
      <c r="U29" s="2">
        <f t="shared" si="2"/>
        <v>0.26927136039322</v>
      </c>
      <c r="V29" s="2">
        <f t="shared" si="3"/>
        <v>0.269271360388539</v>
      </c>
      <c r="W29" s="2">
        <f t="shared" si="4"/>
        <v>0.26927136038854</v>
      </c>
      <c r="X29" s="2">
        <f t="shared" si="5"/>
        <v>0.26927136038854</v>
      </c>
      <c r="Y29" s="2">
        <f t="shared" si="6"/>
        <v>0.269271360388539</v>
      </c>
      <c r="Z29" s="2">
        <f t="shared" si="7"/>
        <v>-0.829198691629622</v>
      </c>
      <c r="AA29" s="2">
        <f t="shared" si="8"/>
        <v>-0.963834371823891</v>
      </c>
      <c r="AB29" s="2">
        <f t="shared" si="9"/>
        <v>0.796504007395304</v>
      </c>
      <c r="AC29" s="2">
        <f t="shared" si="10"/>
        <v>0.832435514430217</v>
      </c>
      <c r="AD29" s="2">
        <f t="shared" si="11"/>
        <v>3360.35</v>
      </c>
      <c r="AE29" s="2">
        <f t="shared" si="12"/>
        <v>0</v>
      </c>
    </row>
    <row r="30" spans="1:31">
      <c r="A30" s="2">
        <v>28000</v>
      </c>
      <c r="B30" s="2">
        <v>6.95</v>
      </c>
      <c r="C30" s="4">
        <v>0.3</v>
      </c>
      <c r="D30" s="2">
        <f t="shared" si="13"/>
        <v>0.203258722061929</v>
      </c>
      <c r="E30" s="2">
        <f t="shared" si="14"/>
        <v>0.163366361611798</v>
      </c>
      <c r="F30" s="2">
        <f t="shared" si="15"/>
        <v>0.144972085919847</v>
      </c>
      <c r="G30" s="2">
        <f t="shared" si="16"/>
        <v>0.138887573520111</v>
      </c>
      <c r="H30" s="2">
        <f t="shared" si="17"/>
        <v>0.13816643089101</v>
      </c>
      <c r="I30" s="2">
        <f t="shared" si="18"/>
        <v>0.138156631590594</v>
      </c>
      <c r="J30" s="2">
        <f t="shared" si="19"/>
        <v>0.138156629794041</v>
      </c>
      <c r="K30" s="2">
        <f t="shared" si="20"/>
        <v>-2.23926786085339</v>
      </c>
      <c r="L30" s="2">
        <f t="shared" si="21"/>
        <v>-2.30834617575041</v>
      </c>
      <c r="M30" s="2">
        <f t="shared" si="22"/>
        <v>0.0125692463632201</v>
      </c>
      <c r="N30" s="2">
        <f t="shared" si="23"/>
        <v>0.0104899450478049</v>
      </c>
      <c r="O30" s="2">
        <f t="shared" si="24"/>
        <v>6.94999999999987</v>
      </c>
      <c r="P30" s="2">
        <f t="shared" si="25"/>
        <v>-1.25233157177718e-13</v>
      </c>
      <c r="Q30" s="2">
        <v>4333.55</v>
      </c>
      <c r="R30" s="4">
        <v>0.3</v>
      </c>
      <c r="S30" s="2">
        <f t="shared" si="0"/>
        <v>0.313312874846799</v>
      </c>
      <c r="T30" s="2">
        <f t="shared" si="1"/>
        <v>0.313013549263779</v>
      </c>
      <c r="U30" s="2">
        <f t="shared" si="2"/>
        <v>0.313013406173437</v>
      </c>
      <c r="V30" s="2">
        <f t="shared" si="3"/>
        <v>0.313013406173405</v>
      </c>
      <c r="W30" s="2">
        <f t="shared" si="4"/>
        <v>0.313013406173405</v>
      </c>
      <c r="X30" s="2">
        <f t="shared" si="5"/>
        <v>0.313013406173405</v>
      </c>
      <c r="Y30" s="2">
        <f t="shared" si="6"/>
        <v>0.313013406173405</v>
      </c>
      <c r="Z30" s="2">
        <f t="shared" si="7"/>
        <v>-0.92535067389126</v>
      </c>
      <c r="AA30" s="2">
        <f t="shared" si="8"/>
        <v>-1.08185737697796</v>
      </c>
      <c r="AB30" s="2">
        <f t="shared" si="9"/>
        <v>0.822608236115264</v>
      </c>
      <c r="AC30" s="2">
        <f t="shared" si="10"/>
        <v>0.860342046648319</v>
      </c>
      <c r="AD30" s="2">
        <f t="shared" si="11"/>
        <v>4333.55</v>
      </c>
      <c r="AE30" s="2">
        <f t="shared" si="12"/>
        <v>0</v>
      </c>
    </row>
    <row r="31" spans="1:31">
      <c r="A31" s="2">
        <v>28500</v>
      </c>
      <c r="B31" s="2">
        <v>7.7</v>
      </c>
      <c r="C31" s="4">
        <v>0.3</v>
      </c>
      <c r="D31" s="2">
        <f t="shared" si="13"/>
        <v>0.213589159777473</v>
      </c>
      <c r="E31" s="2">
        <f t="shared" si="14"/>
        <v>0.175773975260417</v>
      </c>
      <c r="F31" s="2">
        <f t="shared" si="15"/>
        <v>0.158771619504767</v>
      </c>
      <c r="G31" s="2">
        <f t="shared" si="16"/>
        <v>0.15388308444854</v>
      </c>
      <c r="H31" s="2">
        <f t="shared" si="17"/>
        <v>0.153465069139961</v>
      </c>
      <c r="I31" s="2">
        <f t="shared" si="18"/>
        <v>0.153462104912533</v>
      </c>
      <c r="J31" s="2">
        <f t="shared" si="19"/>
        <v>0.15346210476405</v>
      </c>
      <c r="K31" s="2">
        <f t="shared" si="20"/>
        <v>-2.23933468642404</v>
      </c>
      <c r="L31" s="2">
        <f t="shared" si="21"/>
        <v>-2.31606573880607</v>
      </c>
      <c r="M31" s="2">
        <f t="shared" si="22"/>
        <v>0.0125670737902364</v>
      </c>
      <c r="N31" s="2">
        <f t="shared" si="23"/>
        <v>0.0102773398091506</v>
      </c>
      <c r="O31" s="2">
        <f t="shared" si="24"/>
        <v>7.6999999999997</v>
      </c>
      <c r="P31" s="2">
        <f t="shared" si="25"/>
        <v>-2.95763413760142e-13</v>
      </c>
      <c r="Q31" s="2">
        <v>3320.25</v>
      </c>
      <c r="R31" s="4">
        <v>0.3</v>
      </c>
      <c r="S31" s="2">
        <f t="shared" si="0"/>
        <v>0.0001</v>
      </c>
      <c r="T31" s="2">
        <f t="shared" si="1"/>
        <v>0.0001</v>
      </c>
      <c r="U31" s="2">
        <f t="shared" si="2"/>
        <v>0.0001</v>
      </c>
      <c r="V31" s="2">
        <f t="shared" si="3"/>
        <v>0.0001</v>
      </c>
      <c r="W31" s="2">
        <f t="shared" si="4"/>
        <v>0.0001</v>
      </c>
      <c r="X31" s="2">
        <f t="shared" si="5"/>
        <v>0.0001</v>
      </c>
      <c r="Y31" s="2">
        <f t="shared" si="6"/>
        <v>0.0001</v>
      </c>
      <c r="Z31" s="2">
        <f t="shared" si="7"/>
        <v>-3495.4066614943</v>
      </c>
      <c r="AA31" s="2">
        <f t="shared" si="8"/>
        <v>-3495.4067114943</v>
      </c>
      <c r="AB31" s="2">
        <f t="shared" si="9"/>
        <v>1</v>
      </c>
      <c r="AC31" s="2">
        <f t="shared" si="10"/>
        <v>1</v>
      </c>
      <c r="AD31" s="2">
        <f t="shared" si="11"/>
        <v>4496.31759083559</v>
      </c>
      <c r="AE31" s="2">
        <f t="shared" si="12"/>
        <v>1176.06759083559</v>
      </c>
    </row>
    <row r="32" spans="1:31">
      <c r="A32" s="2">
        <v>29000</v>
      </c>
      <c r="B32" s="2">
        <v>5.6</v>
      </c>
      <c r="C32" s="4">
        <v>0.3</v>
      </c>
      <c r="D32" s="2">
        <f t="shared" si="13"/>
        <v>0.221435679799645</v>
      </c>
      <c r="E32" s="2">
        <f t="shared" si="14"/>
        <v>0.184363322253382</v>
      </c>
      <c r="F32" s="2">
        <f t="shared" si="15"/>
        <v>0.16648946865223</v>
      </c>
      <c r="G32" s="2">
        <f t="shared" si="16"/>
        <v>0.160644968397413</v>
      </c>
      <c r="H32" s="2">
        <f t="shared" si="17"/>
        <v>0.15999792107053</v>
      </c>
      <c r="I32" s="2">
        <f t="shared" si="18"/>
        <v>0.159990317979134</v>
      </c>
      <c r="J32" s="2">
        <f t="shared" si="19"/>
        <v>0.159990316936859</v>
      </c>
      <c r="K32" s="2">
        <f t="shared" si="20"/>
        <v>-2.36217376107786</v>
      </c>
      <c r="L32" s="2">
        <f t="shared" si="21"/>
        <v>-2.44216891954629</v>
      </c>
      <c r="M32" s="2">
        <f t="shared" si="22"/>
        <v>0.00908406218204646</v>
      </c>
      <c r="N32" s="2">
        <f t="shared" si="23"/>
        <v>0.00729965688339186</v>
      </c>
      <c r="O32" s="2">
        <f t="shared" si="24"/>
        <v>5.60000000000016</v>
      </c>
      <c r="P32" s="2">
        <f t="shared" si="25"/>
        <v>1.65201186064223e-13</v>
      </c>
      <c r="Q32" s="2">
        <v>5331.25</v>
      </c>
      <c r="R32" s="4">
        <v>0.3</v>
      </c>
      <c r="S32" s="2">
        <f t="shared" si="0"/>
        <v>0.370110540788709</v>
      </c>
      <c r="T32" s="2">
        <f t="shared" si="1"/>
        <v>0.361043891657454</v>
      </c>
      <c r="U32" s="2">
        <f t="shared" si="2"/>
        <v>0.360919841062624</v>
      </c>
      <c r="V32" s="2">
        <f t="shared" si="3"/>
        <v>0.360919817073638</v>
      </c>
      <c r="W32" s="2">
        <f t="shared" si="4"/>
        <v>0.360919817073638</v>
      </c>
      <c r="X32" s="2">
        <f t="shared" si="5"/>
        <v>0.360919817073638</v>
      </c>
      <c r="Y32" s="2">
        <f t="shared" si="6"/>
        <v>0.360919817073638</v>
      </c>
      <c r="Z32" s="2">
        <f t="shared" si="7"/>
        <v>-0.974616407422934</v>
      </c>
      <c r="AA32" s="2">
        <f t="shared" si="8"/>
        <v>-1.15507631595975</v>
      </c>
      <c r="AB32" s="2">
        <f t="shared" si="9"/>
        <v>0.835124714087107</v>
      </c>
      <c r="AC32" s="2">
        <f t="shared" si="10"/>
        <v>0.875970411997576</v>
      </c>
      <c r="AD32" s="2">
        <f t="shared" si="11"/>
        <v>5331.25</v>
      </c>
      <c r="AE32" s="2">
        <f t="shared" si="12"/>
        <v>0</v>
      </c>
    </row>
    <row r="33" spans="1:31">
      <c r="A33" s="2">
        <v>30000</v>
      </c>
      <c r="B33" s="2">
        <v>6.3</v>
      </c>
      <c r="C33" s="4">
        <v>0.3</v>
      </c>
      <c r="D33" s="2">
        <f t="shared" si="13"/>
        <v>0.236178877545258</v>
      </c>
      <c r="E33" s="2">
        <f t="shared" si="14"/>
        <v>0.204269101504174</v>
      </c>
      <c r="F33" s="2">
        <f t="shared" si="15"/>
        <v>0.190258999061373</v>
      </c>
      <c r="G33" s="2">
        <f t="shared" si="16"/>
        <v>0.186998736702764</v>
      </c>
      <c r="H33" s="2">
        <f t="shared" si="17"/>
        <v>0.186827253772869</v>
      </c>
      <c r="I33" s="2">
        <f t="shared" si="18"/>
        <v>0.186826792234743</v>
      </c>
      <c r="J33" s="2">
        <f t="shared" si="19"/>
        <v>0.186826792231405</v>
      </c>
      <c r="K33" s="2">
        <f t="shared" si="20"/>
        <v>-2.37332766652366</v>
      </c>
      <c r="L33" s="2">
        <f t="shared" si="21"/>
        <v>-2.46674106263936</v>
      </c>
      <c r="M33" s="2">
        <f t="shared" si="22"/>
        <v>0.0088143086757261</v>
      </c>
      <c r="N33" s="2">
        <f t="shared" si="23"/>
        <v>0.00681744582646714</v>
      </c>
      <c r="O33" s="2">
        <f t="shared" si="24"/>
        <v>6.29999999999981</v>
      </c>
      <c r="P33" s="2">
        <f t="shared" si="25"/>
        <v>-1.87405646556726e-13</v>
      </c>
      <c r="Q33" s="2">
        <v>6308.95</v>
      </c>
      <c r="R33" s="4">
        <v>0.3</v>
      </c>
      <c r="S33" s="2">
        <f t="shared" si="0"/>
        <v>0.432407867400777</v>
      </c>
      <c r="T33" s="2">
        <f t="shared" si="1"/>
        <v>0.40049147591428</v>
      </c>
      <c r="U33" s="2">
        <f t="shared" si="2"/>
        <v>0.399028415423016</v>
      </c>
      <c r="V33" s="2">
        <f t="shared" si="3"/>
        <v>0.39902501323289</v>
      </c>
      <c r="W33" s="2">
        <f t="shared" si="4"/>
        <v>0.399025013214415</v>
      </c>
      <c r="X33" s="2">
        <f t="shared" si="5"/>
        <v>0.399025013214415</v>
      </c>
      <c r="Y33" s="2">
        <f t="shared" si="6"/>
        <v>0.399025013214415</v>
      </c>
      <c r="Z33" s="2">
        <f t="shared" si="7"/>
        <v>-1.03332373529747</v>
      </c>
      <c r="AA33" s="2">
        <f t="shared" si="8"/>
        <v>-1.23283624190467</v>
      </c>
      <c r="AB33" s="2">
        <f t="shared" si="9"/>
        <v>0.849273788362511</v>
      </c>
      <c r="AC33" s="2">
        <f t="shared" si="10"/>
        <v>0.891181566583734</v>
      </c>
      <c r="AD33" s="2">
        <f t="shared" si="11"/>
        <v>6308.95</v>
      </c>
      <c r="AE33" s="2">
        <f t="shared" si="12"/>
        <v>0</v>
      </c>
    </row>
    <row r="34" spans="1:31">
      <c r="A34" s="2">
        <v>31000</v>
      </c>
      <c r="B34" s="2">
        <v>5.15</v>
      </c>
      <c r="C34" s="4">
        <v>0.3</v>
      </c>
      <c r="D34" s="2">
        <f t="shared" si="13"/>
        <v>0.246998374320517</v>
      </c>
      <c r="E34" s="2">
        <f t="shared" si="14"/>
        <v>0.21924583139718</v>
      </c>
      <c r="F34" s="2">
        <f t="shared" si="15"/>
        <v>0.207638709933073</v>
      </c>
      <c r="G34" s="2">
        <f t="shared" si="16"/>
        <v>0.205390922961502</v>
      </c>
      <c r="H34" s="2">
        <f t="shared" si="17"/>
        <v>0.205310912824507</v>
      </c>
      <c r="I34" s="2">
        <f t="shared" si="18"/>
        <v>0.205310813652282</v>
      </c>
      <c r="J34" s="2">
        <f t="shared" si="19"/>
        <v>0.20531081365213</v>
      </c>
      <c r="K34" s="2">
        <f t="shared" si="20"/>
        <v>-2.47024869999889</v>
      </c>
      <c r="L34" s="2">
        <f t="shared" si="21"/>
        <v>-2.57290410682495</v>
      </c>
      <c r="M34" s="2">
        <f t="shared" si="22"/>
        <v>0.0067509573556632</v>
      </c>
      <c r="N34" s="2">
        <f t="shared" si="23"/>
        <v>0.00504245728536096</v>
      </c>
      <c r="O34" s="2">
        <f t="shared" si="24"/>
        <v>5.15000000000003</v>
      </c>
      <c r="P34" s="2">
        <f t="shared" si="25"/>
        <v>3.37507799486048e-14</v>
      </c>
    </row>
    <row r="35" spans="1:31">
      <c r="A35" s="2">
        <v>31500</v>
      </c>
      <c r="B35" s="2">
        <v>4.2</v>
      </c>
      <c r="C35" s="4">
        <v>0.3</v>
      </c>
      <c r="D35" s="2">
        <f t="shared" si="13"/>
        <v>0.251147415083447</v>
      </c>
      <c r="E35" s="2">
        <f t="shared" si="14"/>
        <v>0.224853807970501</v>
      </c>
      <c r="F35" s="2">
        <f t="shared" si="15"/>
        <v>0.213766330319355</v>
      </c>
      <c r="G35" s="2">
        <f t="shared" si="16"/>
        <v>0.211634502712887</v>
      </c>
      <c r="H35" s="2">
        <f t="shared" si="17"/>
        <v>0.211560279377896</v>
      </c>
      <c r="I35" s="2">
        <f t="shared" si="18"/>
        <v>0.211560191432641</v>
      </c>
      <c r="J35" s="2">
        <f t="shared" si="19"/>
        <v>0.211560191432516</v>
      </c>
      <c r="K35" s="2">
        <f t="shared" si="20"/>
        <v>-2.54546071955806</v>
      </c>
      <c r="L35" s="2">
        <f t="shared" si="21"/>
        <v>-2.65124081527432</v>
      </c>
      <c r="M35" s="2">
        <f t="shared" si="22"/>
        <v>0.00545668207790316</v>
      </c>
      <c r="N35" s="2">
        <f t="shared" si="23"/>
        <v>0.00400983192708422</v>
      </c>
      <c r="O35" s="2">
        <f t="shared" si="24"/>
        <v>4.19999999999996</v>
      </c>
      <c r="P35" s="2">
        <f t="shared" si="25"/>
        <v>-3.99680288865056e-14</v>
      </c>
    </row>
    <row r="36" spans="1:31">
      <c r="A36" s="2">
        <v>33000</v>
      </c>
      <c r="B36" s="2">
        <v>3</v>
      </c>
      <c r="C36" s="4">
        <v>0.3</v>
      </c>
      <c r="D36" s="2">
        <f t="shared" si="13"/>
        <v>0.262488676974647</v>
      </c>
      <c r="E36" s="2">
        <f t="shared" si="14"/>
        <v>0.242450102441469</v>
      </c>
      <c r="F36" s="2">
        <f t="shared" si="15"/>
        <v>0.235378085083618</v>
      </c>
      <c r="G36" s="2">
        <f t="shared" si="16"/>
        <v>0.234515685869883</v>
      </c>
      <c r="H36" s="2">
        <f t="shared" si="17"/>
        <v>0.234503648659078</v>
      </c>
      <c r="I36" s="2">
        <f t="shared" si="18"/>
        <v>0.234503646338896</v>
      </c>
      <c r="J36" s="2">
        <f t="shared" si="19"/>
        <v>0.234503646338896</v>
      </c>
      <c r="K36" s="2">
        <f t="shared" si="20"/>
        <v>-2.68225947364424</v>
      </c>
      <c r="L36" s="2">
        <f t="shared" si="21"/>
        <v>-2.79951129681368</v>
      </c>
      <c r="M36" s="2">
        <f t="shared" si="22"/>
        <v>0.00365633582012335</v>
      </c>
      <c r="N36" s="2">
        <f t="shared" si="23"/>
        <v>0.00255900128452626</v>
      </c>
      <c r="O36" s="2">
        <f t="shared" si="24"/>
        <v>3.00000000000007</v>
      </c>
      <c r="P36" s="2">
        <f t="shared" si="25"/>
        <v>7.105427357601e-14</v>
      </c>
    </row>
    <row r="37" spans="1:31">
      <c r="A37" s="2">
        <v>34500</v>
      </c>
      <c r="B37" s="2">
        <v>1.3</v>
      </c>
      <c r="C37" s="4">
        <v>0.3</v>
      </c>
      <c r="D37" s="2">
        <f t="shared" si="13"/>
        <v>0.268917161273692</v>
      </c>
      <c r="E37" s="2">
        <f t="shared" si="14"/>
        <v>0.251228929987656</v>
      </c>
      <c r="F37" s="2">
        <f t="shared" si="15"/>
        <v>0.244557431780099</v>
      </c>
      <c r="G37" s="2">
        <f t="shared" si="16"/>
        <v>0.243653650165283</v>
      </c>
      <c r="H37" s="2">
        <f t="shared" si="17"/>
        <v>0.243638316926296</v>
      </c>
      <c r="I37" s="2">
        <f t="shared" si="18"/>
        <v>0.243638312575788</v>
      </c>
      <c r="J37" s="2">
        <f t="shared" si="19"/>
        <v>0.243638312575788</v>
      </c>
      <c r="K37" s="2">
        <f t="shared" si="20"/>
        <v>-2.94211213235676</v>
      </c>
      <c r="L37" s="2">
        <f t="shared" si="21"/>
        <v>-3.06393128864465</v>
      </c>
      <c r="M37" s="2">
        <f t="shared" si="22"/>
        <v>0.00162990932388231</v>
      </c>
      <c r="N37" s="2">
        <f t="shared" si="23"/>
        <v>0.00109224538375979</v>
      </c>
      <c r="O37" s="2">
        <f t="shared" si="24"/>
        <v>1.30000000000001</v>
      </c>
      <c r="P37" s="2">
        <f t="shared" si="25"/>
        <v>1.13242748511766e-14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2"/>
  <sheetViews>
    <sheetView workbookViewId="0">
      <pane xSplit="1" ySplit="9" topLeftCell="B10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12" customWidth="1"/>
    <col min="2" max="2" width="13" customWidth="1"/>
    <col min="3" max="10" width="10" customWidth="1"/>
    <col min="11" max="17" width="12" customWidth="1"/>
    <col min="18" max="25" width="10" customWidth="1"/>
    <col min="26" max="31" width="12" customWidth="1"/>
  </cols>
  <sheetData>
    <row r="1" ht="17.4" spans="1:31">
      <c r="A1" s="1" t="s">
        <v>42</v>
      </c>
    </row>
    <row r="2" spans="1:31">
      <c r="A2" s="2" t="s">
        <v>1</v>
      </c>
    </row>
    <row r="4" spans="1:31">
      <c r="A4" s="3" t="s">
        <v>2</v>
      </c>
      <c r="B4" s="4">
        <v>0.5</v>
      </c>
      <c r="C4" s="2" t="s">
        <v>43</v>
      </c>
    </row>
    <row r="5" spans="1:31">
      <c r="A5" s="3" t="s">
        <v>4</v>
      </c>
      <c r="B5" s="5">
        <v>0.065</v>
      </c>
    </row>
    <row r="6" spans="1:31">
      <c r="A6" s="3" t="s">
        <v>5</v>
      </c>
      <c r="B6" s="2">
        <f>B16-Q16+A16</f>
        <v>23893.1</v>
      </c>
      <c r="C6" s="2" t="s">
        <v>44</v>
      </c>
    </row>
    <row r="8" spans="1:31">
      <c r="A8" s="3" t="s">
        <v>7</v>
      </c>
      <c r="B8" s="6">
        <v>0.3</v>
      </c>
    </row>
    <row r="9" ht="30" customHeight="1" spans="1:31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7" t="s">
        <v>18</v>
      </c>
      <c r="L9" s="7" t="s">
        <v>19</v>
      </c>
      <c r="M9" s="7" t="s">
        <v>20</v>
      </c>
      <c r="N9" s="7" t="s">
        <v>21</v>
      </c>
      <c r="O9" s="7" t="s">
        <v>22</v>
      </c>
      <c r="P9" s="7" t="s">
        <v>23</v>
      </c>
      <c r="Q9" s="7" t="s">
        <v>24</v>
      </c>
      <c r="R9" s="7" t="s">
        <v>25</v>
      </c>
      <c r="S9" s="7" t="s">
        <v>26</v>
      </c>
      <c r="T9" s="7" t="s">
        <v>27</v>
      </c>
      <c r="U9" s="7" t="s">
        <v>28</v>
      </c>
      <c r="V9" s="7" t="s">
        <v>29</v>
      </c>
      <c r="W9" s="7" t="s">
        <v>30</v>
      </c>
      <c r="X9" s="7" t="s">
        <v>31</v>
      </c>
      <c r="Y9" s="7" t="s">
        <v>32</v>
      </c>
      <c r="Z9" s="7" t="s">
        <v>33</v>
      </c>
      <c r="AA9" s="7" t="s">
        <v>34</v>
      </c>
      <c r="AB9" s="7" t="s">
        <v>35</v>
      </c>
      <c r="AC9" s="7" t="s">
        <v>36</v>
      </c>
      <c r="AD9" s="7" t="s">
        <v>37</v>
      </c>
      <c r="AE9" s="7" t="s">
        <v>38</v>
      </c>
    </row>
    <row r="10" spans="1:31">
      <c r="A10" s="2">
        <v>15000</v>
      </c>
      <c r="Q10" s="2">
        <v>17</v>
      </c>
      <c r="R10" s="4">
        <v>0.3</v>
      </c>
      <c r="S10" s="2">
        <f t="shared" ref="S10:S20" si="0">IFERROR(MEDIAN(0.0001,5,R10-((A10*EXP(-$B$5*$B$4)*NORMSDIST(-(((LN($B$6/A10)+($B$5+R10^2/2)*$B$4)/(R10*SQRT($B$4))-R10*SQRT($B$4))))-$B$6*NORMSDIST(-((LN($B$6/A10)+($B$5+R10^2/2)*$B$4)/(R10*SQRT($B$4)))))-Q10)/($B$6*SQRT($B$4)*NORMDIST((LN($B$6/A10)+($B$5+R10^2/2)*$B$4)/(R10*SQRT($B$4)),0,1,FALSE()))),R10)</f>
        <v>0.313528466893686</v>
      </c>
      <c r="T10" s="2">
        <f t="shared" ref="T10:T20" si="1">IFERROR(MEDIAN(0.0001,5,S10-((A10*EXP(-$B$5*$B$4)*NORMSDIST(-(((LN($B$6/A10)+($B$5+S10^2/2)*$B$4)/(S10*SQRT($B$4))-S10*SQRT($B$4))))-$B$6*NORMSDIST(-((LN($B$6/A10)+($B$5+S10^2/2)*$B$4)/(S10*SQRT($B$4)))))-Q10)/($B$6*SQRT($B$4)*NORMDIST((LN($B$6/A10)+($B$5+S10^2/2)*$B$4)/(S10*SQRT($B$4)),0,1,FALSE()))),S10)</f>
        <v>0.312150076601992</v>
      </c>
      <c r="U10" s="2">
        <f t="shared" ref="U10:U20" si="2">IFERROR(MEDIAN(0.0001,5,T10-((A10*EXP(-$B$5*$B$4)*NORMSDIST(-(((LN($B$6/A10)+($B$5+T10^2/2)*$B$4)/(T10*SQRT($B$4))-T10*SQRT($B$4))))-$B$6*NORMSDIST(-((LN($B$6/A10)+($B$5+T10^2/2)*$B$4)/(T10*SQRT($B$4)))))-Q10)/($B$6*SQRT($B$4)*NORMDIST((LN($B$6/A10)+($B$5+T10^2/2)*$B$4)/(T10*SQRT($B$4)),0,1,FALSE()))),T10)</f>
        <v>0.312134525453873</v>
      </c>
      <c r="V10" s="2">
        <f t="shared" ref="V10:V20" si="3">IFERROR(MEDIAN(0.0001,5,U10-((A10*EXP(-$B$5*$B$4)*NORMSDIST(-(((LN($B$6/A10)+($B$5+U10^2/2)*$B$4)/(U10*SQRT($B$4))-U10*SQRT($B$4))))-$B$6*NORMSDIST(-((LN($B$6/A10)+($B$5+U10^2/2)*$B$4)/(U10*SQRT($B$4)))))-Q10)/($B$6*SQRT($B$4)*NORMDIST((LN($B$6/A10)+($B$5+U10^2/2)*$B$4)/(U10*SQRT($B$4)),0,1,FALSE()))),U10)</f>
        <v>0.31213452348591</v>
      </c>
      <c r="W10" s="2">
        <f t="shared" ref="W10:W20" si="4">IFERROR(MEDIAN(0.0001,5,V10-((A10*EXP(-$B$5*$B$4)*NORMSDIST(-(((LN($B$6/A10)+($B$5+V10^2/2)*$B$4)/(V10*SQRT($B$4))-V10*SQRT($B$4))))-$B$6*NORMSDIST(-((LN($B$6/A10)+($B$5+V10^2/2)*$B$4)/(V10*SQRT($B$4)))))-Q10)/($B$6*SQRT($B$4)*NORMDIST((LN($B$6/A10)+($B$5+V10^2/2)*$B$4)/(V10*SQRT($B$4)),0,1,FALSE()))),V10)</f>
        <v>0.31213452348591</v>
      </c>
      <c r="X10" s="2">
        <f t="shared" ref="X10:X20" si="5">IFERROR(MEDIAN(0.0001,5,W10-((A10*EXP(-$B$5*$B$4)*NORMSDIST(-(((LN($B$6/A10)+($B$5+W10^2/2)*$B$4)/(W10*SQRT($B$4))-W10*SQRT($B$4))))-$B$6*NORMSDIST(-((LN($B$6/A10)+($B$5+W10^2/2)*$B$4)/(W10*SQRT($B$4)))))-Q10)/($B$6*SQRT($B$4)*NORMDIST((LN($B$6/A10)+($B$5+W10^2/2)*$B$4)/(W10*SQRT($B$4)),0,1,FALSE()))),W10)</f>
        <v>0.31213452348591</v>
      </c>
      <c r="Y10" s="2">
        <f t="shared" ref="Y10:Y20" si="6">IFERROR(MEDIAN(0.0001,5,X10-((A10*EXP(-$B$5*$B$4)*NORMSDIST(-(((LN($B$6/A10)+($B$5+X10^2/2)*$B$4)/(X10*SQRT($B$4))-X10*SQRT($B$4))))-$B$6*NORMSDIST(-((LN($B$6/A10)+($B$5+X10^2/2)*$B$4)/(X10*SQRT($B$4)))))-Q10)/($B$6*SQRT($B$4)*NORMDIST((LN($B$6/A10)+($B$5+X10^2/2)*$B$4)/(X10*SQRT($B$4)),0,1,FALSE()))),X10)</f>
        <v>0.31213452348591</v>
      </c>
      <c r="Z10" s="2">
        <f t="shared" ref="Z10:Z20" si="7">(LN($B$6/A10)+($B$5+Y10^2/2)*$B$4)/(Y10*SQRT($B$4))</f>
        <v>2.36686481139705</v>
      </c>
      <c r="AA10" s="2">
        <f t="shared" ref="AA10:AA20" si="8">Z10-Y10*SQRT($B$4)</f>
        <v>2.14615237319774</v>
      </c>
      <c r="AB10" s="2">
        <f t="shared" ref="AB10:AB20" si="9">NORMSDIST(-Z10)</f>
        <v>0.00896974215915906</v>
      </c>
      <c r="AC10" s="2">
        <f t="shared" ref="AC10:AC20" si="10">NORMSDIST(-AA10)</f>
        <v>0.0159304119736282</v>
      </c>
      <c r="AD10" s="2">
        <f t="shared" ref="AD10:AD20" si="11">A10*EXP(-$B$5*$B$4)*AC10-$B$6*AB10</f>
        <v>17</v>
      </c>
      <c r="AE10" s="2">
        <f t="shared" ref="AE10:AE20" si="12">AD10-Q10</f>
        <v>0</v>
      </c>
    </row>
    <row r="11" spans="1:31">
      <c r="A11" s="2">
        <v>16500</v>
      </c>
      <c r="Q11" s="2">
        <v>20.4</v>
      </c>
      <c r="R11" s="4">
        <v>0.3</v>
      </c>
      <c r="S11" s="2">
        <f t="shared" si="0"/>
        <v>0.271909979824619</v>
      </c>
      <c r="T11" s="2">
        <f t="shared" si="1"/>
        <v>0.265094188610218</v>
      </c>
      <c r="U11" s="2">
        <f t="shared" si="2"/>
        <v>0.264680001027097</v>
      </c>
      <c r="V11" s="2">
        <f t="shared" si="3"/>
        <v>0.264678500777135</v>
      </c>
      <c r="W11" s="2">
        <f t="shared" si="4"/>
        <v>0.264678500757484</v>
      </c>
      <c r="X11" s="2">
        <f t="shared" si="5"/>
        <v>0.264678500757484</v>
      </c>
      <c r="Y11" s="2">
        <f t="shared" si="6"/>
        <v>0.264678500757484</v>
      </c>
      <c r="Z11" s="2">
        <f t="shared" si="7"/>
        <v>2.24541609309601</v>
      </c>
      <c r="AA11" s="2">
        <f t="shared" si="8"/>
        <v>2.05826013037611</v>
      </c>
      <c r="AB11" s="2">
        <f t="shared" si="9"/>
        <v>0.0123707166218347</v>
      </c>
      <c r="AC11" s="2">
        <f t="shared" si="10"/>
        <v>0.0197825846110893</v>
      </c>
      <c r="AD11" s="2">
        <f t="shared" si="11"/>
        <v>20.4000000000001</v>
      </c>
      <c r="AE11" s="2">
        <f t="shared" si="12"/>
        <v>1.49213974509621e-13</v>
      </c>
    </row>
    <row r="12" spans="1:31">
      <c r="A12" s="2">
        <v>18000</v>
      </c>
      <c r="Q12" s="2">
        <v>43</v>
      </c>
      <c r="R12" s="4">
        <v>0.3</v>
      </c>
      <c r="S12" s="2">
        <f t="shared" si="0"/>
        <v>0.254127254222131</v>
      </c>
      <c r="T12" s="2">
        <f t="shared" si="1"/>
        <v>0.241791635061521</v>
      </c>
      <c r="U12" s="2">
        <f t="shared" si="2"/>
        <v>0.240711294309449</v>
      </c>
      <c r="V12" s="2">
        <f t="shared" si="3"/>
        <v>0.240702960343645</v>
      </c>
      <c r="W12" s="2">
        <f t="shared" si="4"/>
        <v>0.240702959848256</v>
      </c>
      <c r="X12" s="2">
        <f t="shared" si="5"/>
        <v>0.240702959848256</v>
      </c>
      <c r="Y12" s="2">
        <f t="shared" si="6"/>
        <v>0.240702959848256</v>
      </c>
      <c r="Z12" s="2">
        <f t="shared" si="7"/>
        <v>1.94005409161417</v>
      </c>
      <c r="AA12" s="2">
        <f t="shared" si="8"/>
        <v>1.76985139645379</v>
      </c>
      <c r="AB12" s="2">
        <f t="shared" si="9"/>
        <v>0.0261865582268335</v>
      </c>
      <c r="AC12" s="2">
        <f t="shared" si="10"/>
        <v>0.0383759496536289</v>
      </c>
      <c r="AD12" s="2">
        <f t="shared" si="11"/>
        <v>43.0000000000006</v>
      </c>
      <c r="AE12" s="2">
        <f t="shared" si="12"/>
        <v>5.6843418860808e-13</v>
      </c>
    </row>
    <row r="13" spans="1:31">
      <c r="A13" s="2">
        <v>19500</v>
      </c>
      <c r="B13" s="2">
        <v>4136.5</v>
      </c>
      <c r="C13" s="4">
        <v>0.3</v>
      </c>
      <c r="D13" s="2">
        <f t="shared" ref="D13:D22" si="13">IFERROR(MEDIAN(0.0001,5,C13-(($B$6*NORMSDIST((LN($B$6/A13)+($B$5+C13^2/2)*$B$4)/(C13*SQRT($B$4)))-A13*EXP(-$B$5*$B$4)*NORMSDIST(((LN($B$6/A13)+($B$5+C13^2/2)*$B$4)/(C13*SQRT($B$4))-C13*SQRT($B$4))))-B13)/($B$6*SQRT($B$4)*NORMDIST((LN($B$6/A13)+($B$5+C13^2/2)*$B$4)/(C13*SQRT($B$4)),0,1,FALSE()))),C13)</f>
        <v>0.0001</v>
      </c>
      <c r="E13" s="2">
        <f t="shared" ref="E13:E22" si="14">IFERROR(MEDIAN(0.0001,5,D13-(($B$6*NORMSDIST((LN($B$6/A13)+($B$5+D13^2/2)*$B$4)/(D13*SQRT($B$4)))-A13*EXP(-$B$5*$B$4)*NORMSDIST(((LN($B$6/A13)+($B$5+D13^2/2)*$B$4)/(D13*SQRT($B$4))-D13*SQRT($B$4))))-B13)/($B$6*SQRT($B$4)*NORMDIST((LN($B$6/A13)+($B$5+D13^2/2)*$B$4)/(D13*SQRT($B$4)),0,1,FALSE()))),D13)</f>
        <v>0.0001</v>
      </c>
      <c r="F13" s="2">
        <f t="shared" ref="F13:F22" si="15">IFERROR(MEDIAN(0.0001,5,E13-(($B$6*NORMSDIST((LN($B$6/A13)+($B$5+E13^2/2)*$B$4)/(E13*SQRT($B$4)))-A13*EXP(-$B$5*$B$4)*NORMSDIST(((LN($B$6/A13)+($B$5+E13^2/2)*$B$4)/(E13*SQRT($B$4))-E13*SQRT($B$4))))-B13)/($B$6*SQRT($B$4)*NORMDIST((LN($B$6/A13)+($B$5+E13^2/2)*$B$4)/(E13*SQRT($B$4)),0,1,FALSE()))),E13)</f>
        <v>0.0001</v>
      </c>
      <c r="G13" s="2">
        <f t="shared" ref="G13:G22" si="16">IFERROR(MEDIAN(0.0001,5,F13-(($B$6*NORMSDIST((LN($B$6/A13)+($B$5+F13^2/2)*$B$4)/(F13*SQRT($B$4)))-A13*EXP(-$B$5*$B$4)*NORMSDIST(((LN($B$6/A13)+($B$5+F13^2/2)*$B$4)/(F13*SQRT($B$4))-F13*SQRT($B$4))))-B13)/($B$6*SQRT($B$4)*NORMDIST((LN($B$6/A13)+($B$5+F13^2/2)*$B$4)/(F13*SQRT($B$4)),0,1,FALSE()))),F13)</f>
        <v>0.0001</v>
      </c>
      <c r="H13" s="2">
        <f t="shared" ref="H13:H22" si="17">IFERROR(MEDIAN(0.0001,5,G13-(($B$6*NORMSDIST((LN($B$6/A13)+($B$5+G13^2/2)*$B$4)/(G13*SQRT($B$4)))-A13*EXP(-$B$5*$B$4)*NORMSDIST(((LN($B$6/A13)+($B$5+G13^2/2)*$B$4)/(G13*SQRT($B$4))-G13*SQRT($B$4))))-B13)/($B$6*SQRT($B$4)*NORMDIST((LN($B$6/A13)+($B$5+G13^2/2)*$B$4)/(G13*SQRT($B$4)),0,1,FALSE()))),G13)</f>
        <v>0.0001</v>
      </c>
      <c r="I13" s="2">
        <f t="shared" ref="I13:I22" si="18">IFERROR(MEDIAN(0.0001,5,H13-(($B$6*NORMSDIST((LN($B$6/A13)+($B$5+H13^2/2)*$B$4)/(H13*SQRT($B$4)))-A13*EXP(-$B$5*$B$4)*NORMSDIST(((LN($B$6/A13)+($B$5+H13^2/2)*$B$4)/(H13*SQRT($B$4))-H13*SQRT($B$4))))-B13)/($B$6*SQRT($B$4)*NORMDIST((LN($B$6/A13)+($B$5+H13^2/2)*$B$4)/(H13*SQRT($B$4)),0,1,FALSE()))),H13)</f>
        <v>0.0001</v>
      </c>
      <c r="J13" s="2">
        <f t="shared" ref="J13:J22" si="19">IFERROR(MEDIAN(0.0001,5,I13-(($B$6*NORMSDIST((LN($B$6/A13)+($B$5+I13^2/2)*$B$4)/(I13*SQRT($B$4)))-A13*EXP(-$B$5*$B$4)*NORMSDIST(((LN($B$6/A13)+($B$5+I13^2/2)*$B$4)/(I13*SQRT($B$4))-I13*SQRT($B$4))))-B13)/($B$6*SQRT($B$4)*NORMDIST((LN($B$6/A13)+($B$5+I13^2/2)*$B$4)/(I13*SQRT($B$4)),0,1,FALSE()))),I13)</f>
        <v>0.0001</v>
      </c>
      <c r="K13" s="2">
        <f t="shared" ref="K13:K22" si="20">(LN($B$6/A13)+($B$5+J13^2/2)*$B$4)/(J13*SQRT($B$4))</f>
        <v>3332.95136642177</v>
      </c>
      <c r="L13" s="2">
        <f t="shared" ref="L13:L22" si="21">K13-J13*SQRT($B$4)</f>
        <v>3332.95129571109</v>
      </c>
      <c r="M13" s="2">
        <f t="shared" ref="M13:M22" si="22">NORMSDIST(K13)</f>
        <v>1</v>
      </c>
      <c r="N13" s="2">
        <f t="shared" ref="N13:N22" si="23">NORMSDIST(L13)</f>
        <v>1</v>
      </c>
      <c r="O13" s="2">
        <f t="shared" ref="O13:O22" si="24">$B$6*M13-A13*EXP(-$B$5*$B$4)*N13</f>
        <v>5016.66222828953</v>
      </c>
      <c r="P13" s="2">
        <f t="shared" ref="P13:P22" si="25">O13-B13</f>
        <v>880.16222828953</v>
      </c>
      <c r="Q13" s="2">
        <v>64.4</v>
      </c>
      <c r="R13" s="4">
        <v>0.3</v>
      </c>
      <c r="S13" s="2">
        <f t="shared" si="0"/>
        <v>0.2262672921507</v>
      </c>
      <c r="T13" s="2">
        <f t="shared" si="1"/>
        <v>0.205839838579889</v>
      </c>
      <c r="U13" s="2">
        <f t="shared" si="2"/>
        <v>0.203282440628162</v>
      </c>
      <c r="V13" s="2">
        <f t="shared" si="3"/>
        <v>0.203239405685541</v>
      </c>
      <c r="W13" s="2">
        <f t="shared" si="4"/>
        <v>0.203239393456506</v>
      </c>
      <c r="X13" s="2">
        <f t="shared" si="5"/>
        <v>0.203239393456505</v>
      </c>
      <c r="Y13" s="2">
        <f t="shared" si="6"/>
        <v>0.203239393456505</v>
      </c>
      <c r="Z13" s="2">
        <f t="shared" si="7"/>
        <v>1.71177000827563</v>
      </c>
      <c r="AA13" s="2">
        <f t="shared" si="8"/>
        <v>1.56805805495829</v>
      </c>
      <c r="AB13" s="2">
        <f t="shared" si="9"/>
        <v>0.0434695305944167</v>
      </c>
      <c r="AC13" s="2">
        <f t="shared" si="10"/>
        <v>0.0584337921585249</v>
      </c>
      <c r="AD13" s="2">
        <f t="shared" si="11"/>
        <v>64.4000000000001</v>
      </c>
      <c r="AE13" s="2">
        <f t="shared" si="12"/>
        <v>0</v>
      </c>
    </row>
    <row r="14" spans="1:31">
      <c r="A14" s="2">
        <v>21000</v>
      </c>
      <c r="B14" s="2">
        <v>2858</v>
      </c>
      <c r="C14" s="4">
        <v>0.3</v>
      </c>
      <c r="D14" s="2">
        <f t="shared" si="13"/>
        <v>0.0177368865092862</v>
      </c>
      <c r="E14" s="2">
        <f t="shared" si="14"/>
        <v>0.0001</v>
      </c>
      <c r="F14" s="2">
        <f t="shared" si="15"/>
        <v>0.0001</v>
      </c>
      <c r="G14" s="2">
        <f t="shared" si="16"/>
        <v>0.0001</v>
      </c>
      <c r="H14" s="2">
        <f t="shared" si="17"/>
        <v>0.0001</v>
      </c>
      <c r="I14" s="2">
        <f t="shared" si="18"/>
        <v>0.0001</v>
      </c>
      <c r="J14" s="2">
        <f t="shared" si="19"/>
        <v>0.0001</v>
      </c>
      <c r="K14" s="2">
        <f t="shared" si="20"/>
        <v>2284.90637342416</v>
      </c>
      <c r="L14" s="2">
        <f t="shared" si="21"/>
        <v>2284.90630271348</v>
      </c>
      <c r="M14" s="2">
        <f t="shared" si="22"/>
        <v>1</v>
      </c>
      <c r="N14" s="2">
        <f t="shared" si="23"/>
        <v>1</v>
      </c>
      <c r="O14" s="2">
        <f t="shared" si="24"/>
        <v>3564.62855354257</v>
      </c>
      <c r="P14" s="2">
        <f t="shared" si="25"/>
        <v>706.62855354257</v>
      </c>
      <c r="Q14" s="2">
        <v>133.1</v>
      </c>
      <c r="R14" s="4">
        <v>0.3</v>
      </c>
      <c r="S14" s="2">
        <f t="shared" si="0"/>
        <v>0.199272892264618</v>
      </c>
      <c r="T14" s="2">
        <f t="shared" si="1"/>
        <v>0.180368432607881</v>
      </c>
      <c r="U14" s="2">
        <f t="shared" si="2"/>
        <v>0.178936359963898</v>
      </c>
      <c r="V14" s="2">
        <f t="shared" si="3"/>
        <v>0.178927107512149</v>
      </c>
      <c r="W14" s="2">
        <f t="shared" si="4"/>
        <v>0.17892710712301</v>
      </c>
      <c r="X14" s="2">
        <f t="shared" si="5"/>
        <v>0.17892710712301</v>
      </c>
      <c r="Y14" s="2">
        <f t="shared" si="6"/>
        <v>0.17892710712301</v>
      </c>
      <c r="Z14" s="2">
        <f t="shared" si="7"/>
        <v>1.34026429826002</v>
      </c>
      <c r="AA14" s="2">
        <f t="shared" si="8"/>
        <v>1.21374372747525</v>
      </c>
      <c r="AB14" s="2">
        <f t="shared" si="9"/>
        <v>0.0900797170536845</v>
      </c>
      <c r="AC14" s="2">
        <f t="shared" si="10"/>
        <v>0.112422800383924</v>
      </c>
      <c r="AD14" s="2">
        <f t="shared" si="11"/>
        <v>133.1</v>
      </c>
      <c r="AE14" s="2">
        <f t="shared" si="12"/>
        <v>0</v>
      </c>
    </row>
    <row r="15" spans="1:31">
      <c r="A15" s="2">
        <v>22500</v>
      </c>
      <c r="B15" s="2">
        <v>1655</v>
      </c>
      <c r="C15" s="4">
        <v>0.3</v>
      </c>
      <c r="D15" s="2">
        <f t="shared" si="13"/>
        <v>0.0404036096416387</v>
      </c>
      <c r="E15" s="2">
        <f t="shared" si="14"/>
        <v>0.0001</v>
      </c>
      <c r="F15" s="2">
        <f t="shared" si="15"/>
        <v>0.0001</v>
      </c>
      <c r="G15" s="2">
        <f t="shared" si="16"/>
        <v>0.0001</v>
      </c>
      <c r="H15" s="2">
        <f t="shared" si="17"/>
        <v>0.0001</v>
      </c>
      <c r="I15" s="2">
        <f t="shared" si="18"/>
        <v>0.0001</v>
      </c>
      <c r="J15" s="2">
        <f t="shared" si="19"/>
        <v>0.0001</v>
      </c>
      <c r="K15" s="2">
        <f t="shared" si="20"/>
        <v>1309.19982778505</v>
      </c>
      <c r="L15" s="2">
        <f t="shared" si="21"/>
        <v>1309.19975707437</v>
      </c>
      <c r="M15" s="2">
        <f t="shared" si="22"/>
        <v>1</v>
      </c>
      <c r="N15" s="2">
        <f t="shared" si="23"/>
        <v>1</v>
      </c>
      <c r="O15" s="2">
        <f t="shared" si="24"/>
        <v>2112.59487879561</v>
      </c>
      <c r="P15" s="2">
        <f t="shared" si="25"/>
        <v>457.594878795611</v>
      </c>
      <c r="Q15" s="2">
        <v>327.95</v>
      </c>
      <c r="R15" s="4">
        <v>0.3</v>
      </c>
      <c r="S15" s="2">
        <f t="shared" si="0"/>
        <v>0.175425194248489</v>
      </c>
      <c r="T15" s="2">
        <f t="shared" si="1"/>
        <v>0.166131555915229</v>
      </c>
      <c r="U15" s="2">
        <f t="shared" si="2"/>
        <v>0.165984592567136</v>
      </c>
      <c r="V15" s="2">
        <f t="shared" si="3"/>
        <v>0.165984552372342</v>
      </c>
      <c r="W15" s="2">
        <f t="shared" si="4"/>
        <v>0.165984552372339</v>
      </c>
      <c r="X15" s="2">
        <f t="shared" si="5"/>
        <v>0.165984552372339</v>
      </c>
      <c r="Y15" s="2">
        <f t="shared" si="6"/>
        <v>0.165984552372339</v>
      </c>
      <c r="Z15" s="2">
        <f t="shared" si="7"/>
        <v>0.847432374337449</v>
      </c>
      <c r="AA15" s="2">
        <f t="shared" si="8"/>
        <v>0.730063571782754</v>
      </c>
      <c r="AB15" s="2">
        <f t="shared" si="9"/>
        <v>0.198377082916854</v>
      </c>
      <c r="AC15" s="2">
        <f t="shared" si="10"/>
        <v>0.232675663472421</v>
      </c>
      <c r="AD15" s="2">
        <f t="shared" si="11"/>
        <v>327.95</v>
      </c>
      <c r="AE15" s="2">
        <f t="shared" si="12"/>
        <v>0</v>
      </c>
    </row>
    <row r="16" spans="1:31">
      <c r="A16" s="2">
        <v>24000</v>
      </c>
      <c r="B16" s="2">
        <v>694.35</v>
      </c>
      <c r="C16" s="4">
        <v>0.3</v>
      </c>
      <c r="D16" s="2">
        <f t="shared" si="13"/>
        <v>0.0491319867727241</v>
      </c>
      <c r="E16" s="2">
        <f t="shared" si="14"/>
        <v>0.0359214687420016</v>
      </c>
      <c r="F16" s="2">
        <f t="shared" si="15"/>
        <v>0.0339930213602468</v>
      </c>
      <c r="G16" s="2">
        <f t="shared" si="16"/>
        <v>0.0339231224323064</v>
      </c>
      <c r="H16" s="2">
        <f t="shared" si="17"/>
        <v>0.0339230242889604</v>
      </c>
      <c r="I16" s="2">
        <f t="shared" si="18"/>
        <v>0.0339230242887669</v>
      </c>
      <c r="J16" s="2">
        <f t="shared" si="19"/>
        <v>0.0339230242887662</v>
      </c>
      <c r="K16" s="2">
        <f t="shared" si="20"/>
        <v>1.18077875977555</v>
      </c>
      <c r="L16" s="2">
        <f t="shared" si="21"/>
        <v>1.1567915592626</v>
      </c>
      <c r="M16" s="2">
        <f t="shared" si="22"/>
        <v>0.881154687992878</v>
      </c>
      <c r="N16" s="2">
        <f t="shared" si="23"/>
        <v>0.876321234390043</v>
      </c>
      <c r="O16" s="2">
        <f t="shared" si="24"/>
        <v>694.349999999999</v>
      </c>
      <c r="P16" s="2">
        <f t="shared" si="25"/>
        <v>-1.47792889038101e-12</v>
      </c>
      <c r="Q16" s="2">
        <v>801.25</v>
      </c>
      <c r="R16" s="4">
        <v>0.3</v>
      </c>
      <c r="S16" s="2">
        <f t="shared" si="0"/>
        <v>0.166273970371035</v>
      </c>
      <c r="T16" s="2">
        <f t="shared" si="1"/>
        <v>0.165612678549023</v>
      </c>
      <c r="U16" s="2">
        <f t="shared" si="2"/>
        <v>0.165612608006401</v>
      </c>
      <c r="V16" s="2">
        <f t="shared" si="3"/>
        <v>0.165612608006401</v>
      </c>
      <c r="W16" s="2">
        <f t="shared" si="4"/>
        <v>0.1656126080064</v>
      </c>
      <c r="X16" s="2">
        <f t="shared" si="5"/>
        <v>0.1656126080064</v>
      </c>
      <c r="Y16" s="2">
        <f t="shared" si="6"/>
        <v>0.1656126080064</v>
      </c>
      <c r="Z16" s="2">
        <f t="shared" si="7"/>
        <v>0.297959353896047</v>
      </c>
      <c r="AA16" s="2">
        <f t="shared" si="8"/>
        <v>0.180853555724732</v>
      </c>
      <c r="AB16" s="2">
        <f t="shared" si="9"/>
        <v>0.382867093107341</v>
      </c>
      <c r="AC16" s="2">
        <f t="shared" si="10"/>
        <v>0.428241262382259</v>
      </c>
      <c r="AD16" s="2">
        <f t="shared" si="11"/>
        <v>801.250000000002</v>
      </c>
      <c r="AE16" s="2">
        <f t="shared" si="12"/>
        <v>1.81898940354586e-12</v>
      </c>
    </row>
    <row r="17" spans="1:31">
      <c r="A17" s="2">
        <v>25500</v>
      </c>
      <c r="B17" s="2">
        <v>211.2</v>
      </c>
      <c r="C17" s="4">
        <v>0.3</v>
      </c>
      <c r="D17" s="2">
        <f t="shared" si="13"/>
        <v>0.0818326062412215</v>
      </c>
      <c r="E17" s="2">
        <f t="shared" si="14"/>
        <v>0.0749395211851928</v>
      </c>
      <c r="F17" s="2">
        <f t="shared" si="15"/>
        <v>0.0748371208076753</v>
      </c>
      <c r="G17" s="2">
        <f t="shared" si="16"/>
        <v>0.0748370943504899</v>
      </c>
      <c r="H17" s="2">
        <f t="shared" si="17"/>
        <v>0.0748370943504888</v>
      </c>
      <c r="I17" s="2">
        <f t="shared" si="18"/>
        <v>0.0748370943504882</v>
      </c>
      <c r="J17" s="2">
        <f t="shared" si="19"/>
        <v>0.0748370943504885</v>
      </c>
      <c r="K17" s="2">
        <f t="shared" si="20"/>
        <v>-0.58937786917796</v>
      </c>
      <c r="L17" s="2">
        <f t="shared" si="21"/>
        <v>-0.642295686077488</v>
      </c>
      <c r="M17" s="2">
        <f t="shared" si="22"/>
        <v>0.277803909482286</v>
      </c>
      <c r="N17" s="2">
        <f t="shared" si="23"/>
        <v>0.260340607368413</v>
      </c>
      <c r="O17" s="2">
        <f t="shared" si="24"/>
        <v>211.200000000002</v>
      </c>
      <c r="P17" s="2">
        <f t="shared" si="25"/>
        <v>1.64845914696343e-12</v>
      </c>
      <c r="Q17" s="2">
        <v>1730.1</v>
      </c>
      <c r="R17" s="4">
        <v>0.3</v>
      </c>
      <c r="S17" s="2">
        <f t="shared" si="0"/>
        <v>0.189879756171947</v>
      </c>
      <c r="T17" s="2">
        <f t="shared" si="1"/>
        <v>0.189320034083782</v>
      </c>
      <c r="U17" s="2">
        <f t="shared" si="2"/>
        <v>0.189319989048688</v>
      </c>
      <c r="V17" s="2">
        <f t="shared" si="3"/>
        <v>0.189319989048688</v>
      </c>
      <c r="W17" s="2">
        <f t="shared" si="4"/>
        <v>0.189319989048688</v>
      </c>
      <c r="X17" s="2">
        <f t="shared" si="5"/>
        <v>0.189319989048687</v>
      </c>
      <c r="Y17" s="2">
        <f t="shared" si="6"/>
        <v>0.189319989048687</v>
      </c>
      <c r="Z17" s="2">
        <f t="shared" si="7"/>
        <v>-0.176501984700115</v>
      </c>
      <c r="AA17" s="2">
        <f t="shared" si="8"/>
        <v>-0.310371432770604</v>
      </c>
      <c r="AB17" s="2">
        <f t="shared" si="9"/>
        <v>0.570050205202738</v>
      </c>
      <c r="AC17" s="2">
        <f t="shared" si="10"/>
        <v>0.621860742216666</v>
      </c>
      <c r="AD17" s="2">
        <f t="shared" si="11"/>
        <v>1730.1</v>
      </c>
      <c r="AE17" s="2">
        <f t="shared" si="12"/>
        <v>0</v>
      </c>
    </row>
    <row r="18" spans="1:31">
      <c r="A18" s="2">
        <v>27000</v>
      </c>
      <c r="B18" s="2">
        <v>59.95</v>
      </c>
      <c r="C18" s="4">
        <v>0.3</v>
      </c>
      <c r="D18" s="2">
        <f t="shared" si="13"/>
        <v>0.125770190026159</v>
      </c>
      <c r="E18" s="2">
        <f t="shared" si="14"/>
        <v>0.0969706372985457</v>
      </c>
      <c r="F18" s="2">
        <f t="shared" si="15"/>
        <v>0.0914310168868254</v>
      </c>
      <c r="G18" s="2">
        <f t="shared" si="16"/>
        <v>0.091122230559897</v>
      </c>
      <c r="H18" s="2">
        <f t="shared" si="17"/>
        <v>0.0911212185012706</v>
      </c>
      <c r="I18" s="2">
        <f t="shared" si="18"/>
        <v>0.091121218490372</v>
      </c>
      <c r="J18" s="2">
        <f t="shared" si="19"/>
        <v>0.091121218490372</v>
      </c>
      <c r="K18" s="2">
        <f t="shared" si="20"/>
        <v>-1.36067164495415</v>
      </c>
      <c r="L18" s="2">
        <f t="shared" si="21"/>
        <v>-1.42510407645868</v>
      </c>
      <c r="M18" s="2">
        <f t="shared" si="22"/>
        <v>0.0868087395941056</v>
      </c>
      <c r="N18" s="2">
        <f t="shared" si="23"/>
        <v>0.0770635592389997</v>
      </c>
      <c r="O18" s="2">
        <f t="shared" si="24"/>
        <v>59.9499999999985</v>
      </c>
      <c r="P18" s="2">
        <f t="shared" si="25"/>
        <v>-1.54898316395702e-12</v>
      </c>
      <c r="Q18" s="2">
        <v>2977</v>
      </c>
      <c r="R18" s="4">
        <v>0.3</v>
      </c>
      <c r="S18" s="2">
        <f t="shared" si="0"/>
        <v>0.230850189012943</v>
      </c>
      <c r="T18" s="2">
        <f t="shared" si="1"/>
        <v>0.229005082133068</v>
      </c>
      <c r="U18" s="2">
        <f t="shared" si="2"/>
        <v>0.22900288073506</v>
      </c>
      <c r="V18" s="2">
        <f t="shared" si="3"/>
        <v>0.229002880731879</v>
      </c>
      <c r="W18" s="2">
        <f t="shared" si="4"/>
        <v>0.229002880731879</v>
      </c>
      <c r="X18" s="2">
        <f t="shared" si="5"/>
        <v>0.229002880731879</v>
      </c>
      <c r="Y18" s="2">
        <f t="shared" si="6"/>
        <v>0.229002880731879</v>
      </c>
      <c r="Z18" s="2">
        <f t="shared" si="7"/>
        <v>-0.473271248435946</v>
      </c>
      <c r="AA18" s="2">
        <f t="shared" si="8"/>
        <v>-0.635200738312712</v>
      </c>
      <c r="AB18" s="2">
        <f t="shared" si="9"/>
        <v>0.68199016404973</v>
      </c>
      <c r="AC18" s="2">
        <f t="shared" si="10"/>
        <v>0.737351249102977</v>
      </c>
      <c r="AD18" s="2">
        <f t="shared" si="11"/>
        <v>2977</v>
      </c>
      <c r="AE18" s="2">
        <f t="shared" si="12"/>
        <v>0</v>
      </c>
    </row>
    <row r="19" spans="1:31">
      <c r="A19" s="2">
        <v>28500</v>
      </c>
      <c r="B19" s="2">
        <v>30.25</v>
      </c>
      <c r="C19" s="4">
        <v>0.3</v>
      </c>
      <c r="D19" s="2">
        <f t="shared" si="13"/>
        <v>0.164613229242382</v>
      </c>
      <c r="E19" s="2">
        <f t="shared" si="14"/>
        <v>0.127414027514127</v>
      </c>
      <c r="F19" s="2">
        <f t="shared" si="15"/>
        <v>0.11558016719816</v>
      </c>
      <c r="G19" s="2">
        <f t="shared" si="16"/>
        <v>0.113720534950675</v>
      </c>
      <c r="H19" s="2">
        <f t="shared" si="17"/>
        <v>0.113671842929578</v>
      </c>
      <c r="I19" s="2">
        <f t="shared" si="18"/>
        <v>0.113671809558772</v>
      </c>
      <c r="J19" s="2">
        <f t="shared" si="19"/>
        <v>0.113671809558756</v>
      </c>
      <c r="K19" s="2">
        <f t="shared" si="20"/>
        <v>-1.74903412731144</v>
      </c>
      <c r="L19" s="2">
        <f t="shared" si="21"/>
        <v>-1.82941223468018</v>
      </c>
      <c r="M19" s="2">
        <f t="shared" si="22"/>
        <v>0.0401425602242939</v>
      </c>
      <c r="N19" s="2">
        <f t="shared" si="23"/>
        <v>0.0336689380755634</v>
      </c>
      <c r="O19" s="2">
        <f t="shared" si="24"/>
        <v>30.2500000000005</v>
      </c>
      <c r="P19" s="2">
        <f t="shared" si="25"/>
        <v>4.54747350886464e-13</v>
      </c>
      <c r="Q19" s="2">
        <v>2937.15</v>
      </c>
      <c r="R19" s="4">
        <v>0.3</v>
      </c>
      <c r="S19" s="2">
        <f t="shared" si="0"/>
        <v>0.0268197118412131</v>
      </c>
      <c r="T19" s="2">
        <f t="shared" si="1"/>
        <v>0.0001</v>
      </c>
      <c r="U19" s="2">
        <f t="shared" si="2"/>
        <v>0.0001</v>
      </c>
      <c r="V19" s="2">
        <f t="shared" si="3"/>
        <v>0.0001</v>
      </c>
      <c r="W19" s="2">
        <f t="shared" si="4"/>
        <v>0.0001</v>
      </c>
      <c r="X19" s="2">
        <f t="shared" si="5"/>
        <v>0.0001</v>
      </c>
      <c r="Y19" s="2">
        <f t="shared" si="6"/>
        <v>0.0001</v>
      </c>
      <c r="Z19" s="2">
        <f t="shared" si="7"/>
        <v>-2033.84233152733</v>
      </c>
      <c r="AA19" s="2">
        <f t="shared" si="8"/>
        <v>-2033.84240223801</v>
      </c>
      <c r="AB19" s="2">
        <f t="shared" si="9"/>
        <v>1</v>
      </c>
      <c r="AC19" s="2">
        <f t="shared" si="10"/>
        <v>1</v>
      </c>
      <c r="AD19" s="2">
        <f t="shared" si="11"/>
        <v>3695.53982019222</v>
      </c>
      <c r="AE19" s="2">
        <f t="shared" si="12"/>
        <v>758.389820192222</v>
      </c>
    </row>
    <row r="20" spans="1:31">
      <c r="A20" s="2">
        <v>30000</v>
      </c>
      <c r="B20" s="2">
        <v>18.9</v>
      </c>
      <c r="C20" s="4">
        <v>0.3</v>
      </c>
      <c r="D20" s="2">
        <f t="shared" si="13"/>
        <v>0.192493106935404</v>
      </c>
      <c r="E20" s="2">
        <f t="shared" si="14"/>
        <v>0.153684669289853</v>
      </c>
      <c r="F20" s="2">
        <f t="shared" si="15"/>
        <v>0.138559107983367</v>
      </c>
      <c r="G20" s="2">
        <f t="shared" si="16"/>
        <v>0.135130836297143</v>
      </c>
      <c r="H20" s="2">
        <f t="shared" si="17"/>
        <v>0.134946284697861</v>
      </c>
      <c r="I20" s="2">
        <f t="shared" si="18"/>
        <v>0.134945756825594</v>
      </c>
      <c r="J20" s="2">
        <f t="shared" si="19"/>
        <v>0.13494575682128</v>
      </c>
      <c r="K20" s="2">
        <f t="shared" si="20"/>
        <v>-1.99699184365717</v>
      </c>
      <c r="L20" s="2">
        <f t="shared" si="21"/>
        <v>-2.09241290339784</v>
      </c>
      <c r="M20" s="2">
        <f t="shared" si="22"/>
        <v>0.0229130345162621</v>
      </c>
      <c r="N20" s="2">
        <f t="shared" si="23"/>
        <v>0.018200797756726</v>
      </c>
      <c r="O20" s="2">
        <f t="shared" si="24"/>
        <v>18.9000000000007</v>
      </c>
      <c r="P20" s="2">
        <f t="shared" si="25"/>
        <v>6.60804744256893e-13</v>
      </c>
      <c r="Q20" s="2">
        <v>5850</v>
      </c>
      <c r="R20" s="4">
        <v>0.3</v>
      </c>
      <c r="S20" s="2">
        <f t="shared" si="0"/>
        <v>0.333699937161958</v>
      </c>
      <c r="T20" s="2">
        <f t="shared" si="1"/>
        <v>0.332354741250655</v>
      </c>
      <c r="U20" s="2">
        <f t="shared" si="2"/>
        <v>0.3323529143785</v>
      </c>
      <c r="V20" s="2">
        <f t="shared" si="3"/>
        <v>0.332352914375109</v>
      </c>
      <c r="W20" s="2">
        <f t="shared" si="4"/>
        <v>0.332352914375109</v>
      </c>
      <c r="X20" s="2">
        <f t="shared" si="5"/>
        <v>0.332352914375109</v>
      </c>
      <c r="Y20" s="2">
        <f t="shared" si="6"/>
        <v>0.332352914375109</v>
      </c>
      <c r="Z20" s="2">
        <f t="shared" si="7"/>
        <v>-0.712709099515223</v>
      </c>
      <c r="AA20" s="2">
        <f t="shared" si="8"/>
        <v>-0.947718099016975</v>
      </c>
      <c r="AB20" s="2">
        <f t="shared" si="9"/>
        <v>0.761987107730807</v>
      </c>
      <c r="AC20" s="2">
        <f t="shared" si="10"/>
        <v>0.828363507751125</v>
      </c>
      <c r="AD20" s="2">
        <f t="shared" si="11"/>
        <v>5850</v>
      </c>
      <c r="AE20" s="2">
        <f t="shared" si="12"/>
        <v>0</v>
      </c>
    </row>
    <row r="21" spans="1:31">
      <c r="A21" s="2">
        <v>31500</v>
      </c>
      <c r="B21" s="2">
        <v>10.1</v>
      </c>
      <c r="C21" s="4">
        <v>0.3</v>
      </c>
      <c r="D21" s="2">
        <f t="shared" si="13"/>
        <v>0.211922396515788</v>
      </c>
      <c r="E21" s="2">
        <f t="shared" si="14"/>
        <v>0.173402715793968</v>
      </c>
      <c r="F21" s="2">
        <f t="shared" si="15"/>
        <v>0.155529349523464</v>
      </c>
      <c r="G21" s="2">
        <f t="shared" si="16"/>
        <v>0.149877264714106</v>
      </c>
      <c r="H21" s="2">
        <f t="shared" si="17"/>
        <v>0.149282180982643</v>
      </c>
      <c r="I21" s="2">
        <f t="shared" si="18"/>
        <v>0.149275813121112</v>
      </c>
      <c r="J21" s="2">
        <f t="shared" si="19"/>
        <v>0.149275812396281</v>
      </c>
      <c r="K21" s="2">
        <f t="shared" si="20"/>
        <v>-2.25786944800017</v>
      </c>
      <c r="L21" s="2">
        <f t="shared" si="21"/>
        <v>-2.36342338721271</v>
      </c>
      <c r="M21" s="2">
        <f t="shared" si="22"/>
        <v>0.0119768999431537</v>
      </c>
      <c r="N21" s="2">
        <f t="shared" si="23"/>
        <v>0.00905348503481553</v>
      </c>
      <c r="O21" s="2">
        <f t="shared" si="24"/>
        <v>10.1000000000001</v>
      </c>
      <c r="P21" s="2">
        <f t="shared" si="25"/>
        <v>1.36779476633819e-13</v>
      </c>
    </row>
    <row r="22" spans="1:31">
      <c r="A22" s="2">
        <v>33000</v>
      </c>
      <c r="B22" s="2">
        <v>8</v>
      </c>
      <c r="C22" s="4">
        <v>0.3</v>
      </c>
      <c r="D22" s="2">
        <f t="shared" si="13"/>
        <v>0.22718303680105</v>
      </c>
      <c r="E22" s="2">
        <f t="shared" si="14"/>
        <v>0.191581525938698</v>
      </c>
      <c r="F22" s="2">
        <f t="shared" si="15"/>
        <v>0.174436152548095</v>
      </c>
      <c r="G22" s="2">
        <f t="shared" si="16"/>
        <v>0.169079181795793</v>
      </c>
      <c r="H22" s="2">
        <f t="shared" si="17"/>
        <v>0.168548979049316</v>
      </c>
      <c r="I22" s="2">
        <f t="shared" si="18"/>
        <v>0.168543999985035</v>
      </c>
      <c r="J22" s="2">
        <f t="shared" si="19"/>
        <v>0.168543999548552</v>
      </c>
      <c r="K22" s="2">
        <f t="shared" si="20"/>
        <v>-2.37723941451613</v>
      </c>
      <c r="L22" s="2">
        <f t="shared" si="21"/>
        <v>-2.49641801952521</v>
      </c>
      <c r="M22" s="2">
        <f t="shared" si="22"/>
        <v>0.00872138131807257</v>
      </c>
      <c r="N22" s="2">
        <f t="shared" si="23"/>
        <v>0.00627273318467879</v>
      </c>
      <c r="O22" s="2">
        <f t="shared" si="24"/>
        <v>8.00000000000003</v>
      </c>
      <c r="P22" s="2">
        <f t="shared" si="25"/>
        <v>2.8421709430404e-14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1M</vt:lpstr>
      <vt:lpstr>3M</vt:lpstr>
      <vt:lpstr>6M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Naresh Yadav</cp:lastModifiedBy>
  <cp:revision>0</cp:revision>
  <dcterms:created xsi:type="dcterms:W3CDTF">2026-09-26T11:35:00Z</dcterms:created>
  <dcterms:modified xsi:type="dcterms:W3CDTF">2026-09-26T12:39:13Z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E4615003843C40B9A4C756B6A6725BF4_13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