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tabRatio="500"/>
  </bookViews>
  <sheets>
    <sheet name="Vasicek 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<sst xmlns="http://schemas.openxmlformats.org/spreadsheetml/2006/main" count="26" uniqueCount="26">
  <si>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Date</t>
  </si>
  <si>
    <t>Indian Mibor Rate r(t)</t>
  </si>
  <si>
    <t>Prev Rate r(t-1)</t>
  </si>
  <si>
    <t>Delta r = r(t) - r(t-1)</t>
  </si>
  <si>
    <t>STEP-BY-STEP PARAMETER CALCULATION</t>
  </si>
  <si>
    <t>Fitted Delta r</t>
  </si>
  <si>
    <t>Residual</t>
  </si>
  <si>
    <t>Number of data points (n)</t>
  </si>
  <si>
    <t>Data frequency</t>
  </si>
  <si>
    <t>Daily</t>
  </si>
  <si>
    <t>dt (time step, 1/365)</t>
  </si>
  <si>
    <t>STEP 2: Regression  Δr = a + b*r(t-1)</t>
  </si>
  <si>
    <t>Slope (b)</t>
  </si>
  <si>
    <t>Intercept (a)</t>
  </si>
  <si>
    <t>STEP 3: kappa = -b / dt</t>
  </si>
  <si>
    <t>STEP 4: theta = -a / b</t>
  </si>
  <si>
    <t>Sanity check: AVERAGE(rate)</t>
  </si>
  <si>
    <t>STEP 5: STDEV of residuals (daily)</t>
  </si>
  <si>
    <t>sigma = STDEV(residuals) / SQRT(dt)</t>
  </si>
  <si>
    <t>r(t) = last observed rate</t>
  </si>
  <si>
    <t>FORECAST (Expected value, Vasicek closed-form)</t>
  </si>
  <si>
    <t>Formula: E[r(T)] = theta + (r0-theta)*EXP(-kappa*T)</t>
  </si>
  <si>
    <t>T = 3.5 years</t>
  </si>
  <si>
    <t>T = 4.5 years</t>
  </si>
  <si>
    <t>T = 5.5 years</t>
  </si>
  <si>
    <t>(Values above are decimals; multiply by 100 for 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</si>
</sst>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m/yyyy"/>
    <numFmt numFmtId="181" formatCode="0.0000"/>
    <numFmt numFmtId="182" formatCode="0.000000"/>
    <numFmt numFmtId="183" formatCode="0.00000"/>
  </numFmts>
  <fonts count="27">
    <font>
      <sz val="11"/>
      <color theme="1"/>
      <name val="Calibri"/>
      <charset val="1"/>
    </font>
    <font>
      <sz val="11"/>
      <color theme="1"/>
      <name val="Arial"/>
      <charset val="1"/>
    </font>
    <font>
      <b/>
      <sz val="11"/>
      <color rgb="FFFFFFFF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Border="0" applyAlignment="0" applyProtection="0"/>
    <xf numFmtId="177" fontId="6" fillId="0" borderId="0" applyBorder="0" applyAlignment="0" applyProtection="0"/>
    <xf numFmtId="9" fontId="6" fillId="0" borderId="0" applyBorder="0" applyAlignment="0" applyProtection="0"/>
    <xf numFmtId="178" fontId="6" fillId="0" borderId="0" applyBorder="0" applyAlignment="0" applyProtection="0"/>
    <xf numFmtId="179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2" fillId="2" borderId="0" xfId="0" applyFont="1" applyFill="1"/>
    <xf numFmtId="180" fontId="1" fillId="0" borderId="0" xfId="0" applyNumberFormat="1" applyFont="1"/>
    <xf numFmtId="181" fontId="1" fillId="0" borderId="0" xfId="0" applyNumberFormat="1" applyFont="1"/>
    <xf numFmtId="181" fontId="4" fillId="0" borderId="0" xfId="0" applyNumberFormat="1" applyFont="1"/>
    <xf numFmtId="0" fontId="5" fillId="0" borderId="0" xfId="0" applyFont="1"/>
    <xf numFmtId="0" fontId="4" fillId="0" borderId="0" xfId="0" applyFont="1"/>
    <xf numFmtId="182" fontId="1" fillId="0" borderId="0" xfId="0" applyNumberFormat="1" applyFont="1"/>
    <xf numFmtId="183" fontId="4" fillId="3" borderId="0" xfId="0" applyNumberFormat="1" applyFont="1" applyFill="1"/>
    <xf numFmtId="182" fontId="4" fillId="0" borderId="0" xfId="0" applyNumberFormat="1" applyFont="1"/>
    <xf numFmtId="181" fontId="4" fillId="3" borderId="0" xfId="0" applyNumberFormat="1" applyFont="1" applyFill="1"/>
    <xf numFmtId="182" fontId="4" fillId="3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0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1"/>
  <sheetViews>
    <sheetView tabSelected="1" workbookViewId="0">
      <selection activeCell="F23" sqref="F23"/>
    </sheetView>
  </sheetViews>
  <sheetFormatPr defaultColWidth="8.67592592592593" defaultRowHeight="13.8"/>
  <cols>
    <col min="1" max="1" width="13.8888888888889" style="1" customWidth="1"/>
    <col min="2" max="2" width="23.4444444444444" style="1" customWidth="1"/>
    <col min="3" max="3" width="17.1111111111111" style="1" customWidth="1"/>
    <col min="4" max="4" width="20.6666666666667" style="1" customWidth="1"/>
    <col min="5" max="5" width="8.67592592592593" style="1"/>
    <col min="6" max="6" width="60.1111111111111" style="1" customWidth="1"/>
    <col min="7" max="7" width="10.7777777777778" style="1" customWidth="1"/>
    <col min="8" max="8" width="14.6666666666667" style="1" customWidth="1"/>
    <col min="9" max="9" width="10.1111111111111" style="1" customWidth="1"/>
    <col min="10" max="16384" width="8.67592592592593" style="1"/>
  </cols>
  <sheetData>
    <row r="1" ht="15.6" spans="1:9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  <c r="H1" s="4" t="s">
        <v>5</v>
      </c>
      <c r="I1" s="4" t="s">
        <v>6</v>
      </c>
    </row>
    <row r="2" spans="1:9">
      <c r="A2" s="5">
        <v>45551</v>
      </c>
      <c r="B2" s="6">
        <v>0.0671</v>
      </c>
    </row>
    <row r="3" spans="1:9">
      <c r="A3" s="5">
        <v>45552</v>
      </c>
      <c r="B3" s="6">
        <v>0.067</v>
      </c>
      <c r="C3" s="7">
        <f t="shared" ref="C3:C66" si="0">B2</f>
        <v>0.0671</v>
      </c>
      <c r="D3" s="7">
        <f t="shared" ref="D3:D66" si="1">B3-C3</f>
        <v>-0.000100000000000003</v>
      </c>
      <c r="F3" s="8" t="s">
        <v>7</v>
      </c>
      <c r="G3" s="9">
        <v>480</v>
      </c>
      <c r="H3" s="10">
        <f t="shared" ref="H3:H66" si="2">$G$10+$G$9*C3</f>
        <v>-0.000358216294595695</v>
      </c>
      <c r="I3" s="10">
        <f t="shared" ref="I3:I66" si="3">D3-H3</f>
        <v>0.000258216294595692</v>
      </c>
    </row>
    <row r="4" spans="1:9">
      <c r="A4" s="5">
        <v>45554</v>
      </c>
      <c r="B4" s="6">
        <v>0.0674</v>
      </c>
      <c r="C4" s="7">
        <f t="shared" si="0"/>
        <v>0.067</v>
      </c>
      <c r="D4" s="7">
        <f t="shared" si="1"/>
        <v>0.000399999999999998</v>
      </c>
      <c r="H4" s="10">
        <f t="shared" si="2"/>
        <v>-0.000354837095182332</v>
      </c>
      <c r="I4" s="10">
        <f t="shared" si="3"/>
        <v>0.000754837095182329</v>
      </c>
    </row>
    <row r="5" spans="1:9">
      <c r="A5" s="5">
        <v>45555</v>
      </c>
      <c r="B5" s="6">
        <v>0.0675</v>
      </c>
      <c r="C5" s="7">
        <f t="shared" si="0"/>
        <v>0.0674</v>
      </c>
      <c r="D5" s="7">
        <f t="shared" si="1"/>
        <v>0.000100000000000003</v>
      </c>
      <c r="F5" s="8" t="s">
        <v>8</v>
      </c>
      <c r="G5" s="9" t="s">
        <v>9</v>
      </c>
      <c r="H5" s="10">
        <f t="shared" si="2"/>
        <v>-0.000368353892835784</v>
      </c>
      <c r="I5" s="10">
        <f t="shared" si="3"/>
        <v>0.000468353892835787</v>
      </c>
    </row>
    <row r="6" spans="1:9">
      <c r="A6" s="5">
        <v>45558</v>
      </c>
      <c r="B6" s="6">
        <v>0.068</v>
      </c>
      <c r="C6" s="7">
        <f t="shared" si="0"/>
        <v>0.0675</v>
      </c>
      <c r="D6" s="7">
        <f t="shared" si="1"/>
        <v>0.0005</v>
      </c>
      <c r="F6" s="8" t="s">
        <v>10</v>
      </c>
      <c r="G6" s="11">
        <f>1/365</f>
        <v>0.00273972602739726</v>
      </c>
      <c r="H6" s="10">
        <f t="shared" si="2"/>
        <v>-0.000371733092249147</v>
      </c>
      <c r="I6" s="10">
        <f t="shared" si="3"/>
        <v>0.000871733092249148</v>
      </c>
    </row>
    <row r="7" spans="1:9">
      <c r="A7" s="5">
        <v>45559</v>
      </c>
      <c r="B7" s="6">
        <v>0.068</v>
      </c>
      <c r="C7" s="7">
        <f t="shared" si="0"/>
        <v>0.068</v>
      </c>
      <c r="D7" s="7">
        <f t="shared" si="1"/>
        <v>0</v>
      </c>
      <c r="H7" s="10">
        <f t="shared" si="2"/>
        <v>-0.000388629089315962</v>
      </c>
      <c r="I7" s="10">
        <f t="shared" si="3"/>
        <v>0.000388629089315962</v>
      </c>
    </row>
    <row r="8" spans="1:9">
      <c r="A8" s="5">
        <v>45560</v>
      </c>
      <c r="B8" s="6">
        <v>0.068</v>
      </c>
      <c r="C8" s="7">
        <f t="shared" si="0"/>
        <v>0.068</v>
      </c>
      <c r="D8" s="7">
        <f t="shared" si="1"/>
        <v>0</v>
      </c>
      <c r="F8" s="8" t="s">
        <v>11</v>
      </c>
      <c r="H8" s="10">
        <f t="shared" si="2"/>
        <v>-0.000388629089315962</v>
      </c>
      <c r="I8" s="10">
        <f t="shared" si="3"/>
        <v>0.000388629089315962</v>
      </c>
    </row>
    <row r="9" spans="1:9">
      <c r="A9" s="5">
        <v>45561</v>
      </c>
      <c r="B9" s="6">
        <v>0.0665</v>
      </c>
      <c r="C9" s="7">
        <f t="shared" si="0"/>
        <v>0.068</v>
      </c>
      <c r="D9" s="7">
        <f t="shared" si="1"/>
        <v>-0.0015</v>
      </c>
      <c r="F9" s="8" t="s">
        <v>12</v>
      </c>
      <c r="G9" s="12">
        <f>SLOPE(D3:D481,C3:C481)</f>
        <v>-0.0337919941336307</v>
      </c>
      <c r="H9" s="10">
        <f t="shared" si="2"/>
        <v>-0.000388629089315962</v>
      </c>
      <c r="I9" s="10">
        <f t="shared" si="3"/>
        <v>-0.00111137091068404</v>
      </c>
    </row>
    <row r="10" spans="1:9">
      <c r="A10" s="5">
        <v>45562</v>
      </c>
      <c r="B10" s="6">
        <v>0.066</v>
      </c>
      <c r="C10" s="7">
        <f t="shared" si="0"/>
        <v>0.0665</v>
      </c>
      <c r="D10" s="7">
        <f t="shared" si="1"/>
        <v>-0.0005</v>
      </c>
      <c r="F10" s="8" t="s">
        <v>13</v>
      </c>
      <c r="G10" s="12">
        <f>INTERCEPT(D3:D481,C3:C481)</f>
        <v>0.00190922651177093</v>
      </c>
      <c r="H10" s="10">
        <f t="shared" si="2"/>
        <v>-0.000337941098115516</v>
      </c>
      <c r="I10" s="10">
        <f t="shared" si="3"/>
        <v>-0.000162058901884484</v>
      </c>
    </row>
    <row r="11" spans="1:9">
      <c r="A11" s="5">
        <v>45565</v>
      </c>
      <c r="B11" s="6">
        <v>0.0676</v>
      </c>
      <c r="C11" s="7">
        <f t="shared" si="0"/>
        <v>0.066</v>
      </c>
      <c r="D11" s="7">
        <f t="shared" si="1"/>
        <v>0.00159999999999999</v>
      </c>
      <c r="H11" s="10">
        <f t="shared" si="2"/>
        <v>-0.000321045101048701</v>
      </c>
      <c r="I11" s="10">
        <f t="shared" si="3"/>
        <v>0.00192104510104869</v>
      </c>
    </row>
    <row r="12" spans="1:9">
      <c r="A12" s="5">
        <v>45566</v>
      </c>
      <c r="B12" s="6">
        <v>0.0655</v>
      </c>
      <c r="C12" s="7">
        <f t="shared" si="0"/>
        <v>0.0676</v>
      </c>
      <c r="D12" s="7">
        <f t="shared" si="1"/>
        <v>-0.00209999999999999</v>
      </c>
      <c r="F12" s="8" t="s">
        <v>14</v>
      </c>
      <c r="G12" s="13">
        <f>-G9/G6</f>
        <v>12.3340778587752</v>
      </c>
      <c r="H12" s="10">
        <f t="shared" si="2"/>
        <v>-0.00037511229166251</v>
      </c>
      <c r="I12" s="10">
        <f t="shared" si="3"/>
        <v>-0.00172488770833748</v>
      </c>
    </row>
    <row r="13" spans="1:9">
      <c r="A13" s="5">
        <v>45568</v>
      </c>
      <c r="B13" s="6">
        <v>0.0654</v>
      </c>
      <c r="C13" s="7">
        <f t="shared" si="0"/>
        <v>0.0655</v>
      </c>
      <c r="D13" s="7">
        <f t="shared" si="1"/>
        <v>-0.000100000000000003</v>
      </c>
      <c r="F13" s="8" t="s">
        <v>15</v>
      </c>
      <c r="G13" s="14">
        <f>-G10/G9</f>
        <v>0.0564993739114914</v>
      </c>
      <c r="H13" s="10">
        <f t="shared" si="2"/>
        <v>-0.000304149103981886</v>
      </c>
      <c r="I13" s="10">
        <f t="shared" si="3"/>
        <v>0.000204149103981883</v>
      </c>
    </row>
    <row r="14" spans="1:9">
      <c r="A14" s="5">
        <v>45569</v>
      </c>
      <c r="B14" s="6">
        <v>0.065</v>
      </c>
      <c r="C14" s="7">
        <f t="shared" si="0"/>
        <v>0.0654</v>
      </c>
      <c r="D14" s="7">
        <f t="shared" si="1"/>
        <v>-0.000399999999999998</v>
      </c>
      <c r="F14" s="8" t="s">
        <v>16</v>
      </c>
      <c r="G14" s="12">
        <f>AVERAGE(B2:B481)</f>
        <v>0.05751625</v>
      </c>
      <c r="H14" s="10">
        <f t="shared" si="2"/>
        <v>-0.000300769904568522</v>
      </c>
      <c r="I14" s="10">
        <f t="shared" si="3"/>
        <v>-9.92300954314753e-5</v>
      </c>
    </row>
    <row r="15" spans="1:9">
      <c r="A15" s="5">
        <v>45572</v>
      </c>
      <c r="B15" s="6">
        <v>0.065</v>
      </c>
      <c r="C15" s="7">
        <f t="shared" si="0"/>
        <v>0.065</v>
      </c>
      <c r="D15" s="7">
        <f t="shared" si="1"/>
        <v>0</v>
      </c>
      <c r="H15" s="10">
        <f t="shared" si="2"/>
        <v>-0.00028725310691507</v>
      </c>
      <c r="I15" s="10">
        <f t="shared" si="3"/>
        <v>0.00028725310691507</v>
      </c>
    </row>
    <row r="16" spans="1:9">
      <c r="A16" s="5">
        <v>45573</v>
      </c>
      <c r="B16" s="6">
        <v>0.065</v>
      </c>
      <c r="C16" s="7">
        <f t="shared" si="0"/>
        <v>0.065</v>
      </c>
      <c r="D16" s="7">
        <f t="shared" si="1"/>
        <v>0</v>
      </c>
      <c r="F16" s="8" t="s">
        <v>17</v>
      </c>
      <c r="G16" s="12">
        <f>STDEV(I3:I481)</f>
        <v>0.00145037644144391</v>
      </c>
      <c r="H16" s="10">
        <f t="shared" si="2"/>
        <v>-0.00028725310691507</v>
      </c>
      <c r="I16" s="10">
        <f t="shared" si="3"/>
        <v>0.00028725310691507</v>
      </c>
    </row>
    <row r="17" spans="1:9">
      <c r="A17" s="5">
        <v>45574</v>
      </c>
      <c r="B17" s="6">
        <v>0.065</v>
      </c>
      <c r="C17" s="7">
        <f t="shared" si="0"/>
        <v>0.065</v>
      </c>
      <c r="D17" s="7">
        <f t="shared" si="1"/>
        <v>0</v>
      </c>
      <c r="F17" s="8" t="s">
        <v>18</v>
      </c>
      <c r="G17" s="13">
        <f>G16/SQRT(G6)</f>
        <v>0.0277094030067748</v>
      </c>
      <c r="H17" s="10">
        <f t="shared" si="2"/>
        <v>-0.00028725310691507</v>
      </c>
      <c r="I17" s="10">
        <f t="shared" si="3"/>
        <v>0.00028725310691507</v>
      </c>
    </row>
    <row r="18" spans="1:9">
      <c r="A18" s="5">
        <v>45575</v>
      </c>
      <c r="B18" s="6">
        <v>0.065</v>
      </c>
      <c r="C18" s="7">
        <f t="shared" si="0"/>
        <v>0.065</v>
      </c>
      <c r="D18" s="7">
        <f t="shared" si="1"/>
        <v>0</v>
      </c>
      <c r="H18" s="10">
        <f t="shared" si="2"/>
        <v>-0.00028725310691507</v>
      </c>
      <c r="I18" s="10">
        <f t="shared" si="3"/>
        <v>0.00028725310691507</v>
      </c>
    </row>
    <row r="19" spans="1:9">
      <c r="A19" s="5">
        <v>45576</v>
      </c>
      <c r="B19" s="6">
        <v>0.065</v>
      </c>
      <c r="C19" s="7">
        <f t="shared" si="0"/>
        <v>0.065</v>
      </c>
      <c r="D19" s="7">
        <f t="shared" si="1"/>
        <v>0</v>
      </c>
      <c r="F19" s="8" t="s">
        <v>19</v>
      </c>
      <c r="G19" s="14">
        <f>B481</f>
        <v>0.0504</v>
      </c>
      <c r="H19" s="10">
        <f t="shared" si="2"/>
        <v>-0.00028725310691507</v>
      </c>
      <c r="I19" s="10">
        <f t="shared" si="3"/>
        <v>0.00028725310691507</v>
      </c>
    </row>
    <row r="20" spans="1:9">
      <c r="A20" s="5">
        <v>45579</v>
      </c>
      <c r="B20" s="6">
        <v>0.065</v>
      </c>
      <c r="C20" s="7">
        <f t="shared" si="0"/>
        <v>0.065</v>
      </c>
      <c r="D20" s="7">
        <f t="shared" si="1"/>
        <v>0</v>
      </c>
      <c r="H20" s="10">
        <f t="shared" si="2"/>
        <v>-0.00028725310691507</v>
      </c>
      <c r="I20" s="10">
        <f t="shared" si="3"/>
        <v>0.00028725310691507</v>
      </c>
    </row>
    <row r="21" spans="1:9">
      <c r="A21" s="5">
        <v>45580</v>
      </c>
      <c r="B21" s="6">
        <v>0.065</v>
      </c>
      <c r="C21" s="7">
        <f t="shared" si="0"/>
        <v>0.065</v>
      </c>
      <c r="D21" s="7">
        <f t="shared" si="1"/>
        <v>0</v>
      </c>
      <c r="H21" s="10">
        <f t="shared" si="2"/>
        <v>-0.00028725310691507</v>
      </c>
      <c r="I21" s="10">
        <f t="shared" si="3"/>
        <v>0.00028725310691507</v>
      </c>
    </row>
    <row r="22" ht="15.6" spans="1:9">
      <c r="A22" s="5">
        <v>45581</v>
      </c>
      <c r="B22" s="6">
        <v>0.065</v>
      </c>
      <c r="C22" s="7">
        <f t="shared" si="0"/>
        <v>0.065</v>
      </c>
      <c r="D22" s="7">
        <f t="shared" si="1"/>
        <v>0</v>
      </c>
      <c r="F22" s="3" t="s">
        <v>20</v>
      </c>
      <c r="H22" s="10">
        <f t="shared" si="2"/>
        <v>-0.00028725310691507</v>
      </c>
      <c r="I22" s="10">
        <f t="shared" si="3"/>
        <v>0.00028725310691507</v>
      </c>
    </row>
    <row r="23" spans="1:9">
      <c r="A23" s="5">
        <v>45582</v>
      </c>
      <c r="B23" s="6">
        <v>0.065</v>
      </c>
      <c r="C23" s="7">
        <f t="shared" si="0"/>
        <v>0.065</v>
      </c>
      <c r="D23" s="7">
        <f t="shared" si="1"/>
        <v>0</v>
      </c>
      <c r="F23" s="8" t="s">
        <v>21</v>
      </c>
      <c r="H23" s="10">
        <f t="shared" si="2"/>
        <v>-0.00028725310691507</v>
      </c>
      <c r="I23" s="10">
        <f t="shared" si="3"/>
        <v>0.00028725310691507</v>
      </c>
    </row>
    <row r="24" spans="1:9">
      <c r="A24" s="5">
        <v>45583</v>
      </c>
      <c r="B24" s="6">
        <v>0.065</v>
      </c>
      <c r="C24" s="7">
        <f t="shared" si="0"/>
        <v>0.065</v>
      </c>
      <c r="D24" s="7">
        <f t="shared" si="1"/>
        <v>0</v>
      </c>
      <c r="F24" s="8" t="s">
        <v>22</v>
      </c>
      <c r="G24" s="13">
        <f>G13+(G19-G13)*EXP(-G12*3.5)</f>
        <v>0.0564993739114914</v>
      </c>
      <c r="H24" s="10">
        <f t="shared" si="2"/>
        <v>-0.00028725310691507</v>
      </c>
      <c r="I24" s="10">
        <f t="shared" si="3"/>
        <v>0.00028725310691507</v>
      </c>
    </row>
    <row r="25" spans="1:9">
      <c r="A25" s="5">
        <v>45586</v>
      </c>
      <c r="B25" s="6">
        <v>0.065</v>
      </c>
      <c r="C25" s="7">
        <f t="shared" si="0"/>
        <v>0.065</v>
      </c>
      <c r="D25" s="7">
        <f t="shared" si="1"/>
        <v>0</v>
      </c>
      <c r="F25" s="8" t="s">
        <v>23</v>
      </c>
      <c r="G25" s="13">
        <f>G13+(G19-G13)*EXP(-G12*4.5)</f>
        <v>0.0564993739114914</v>
      </c>
      <c r="H25" s="10">
        <f t="shared" si="2"/>
        <v>-0.00028725310691507</v>
      </c>
      <c r="I25" s="10">
        <f t="shared" si="3"/>
        <v>0.00028725310691507</v>
      </c>
    </row>
    <row r="26" spans="1:9">
      <c r="A26" s="5">
        <v>45587</v>
      </c>
      <c r="B26" s="6">
        <v>0.0673</v>
      </c>
      <c r="C26" s="7">
        <f t="shared" si="0"/>
        <v>0.065</v>
      </c>
      <c r="D26" s="7">
        <f t="shared" si="1"/>
        <v>0.0023</v>
      </c>
      <c r="F26" s="8" t="s">
        <v>24</v>
      </c>
      <c r="G26" s="13">
        <f>G13+(G19-G13)*EXP(-G12*5.5)</f>
        <v>0.0564993739114914</v>
      </c>
      <c r="H26" s="10">
        <f t="shared" si="2"/>
        <v>-0.00028725310691507</v>
      </c>
      <c r="I26" s="10">
        <f t="shared" si="3"/>
        <v>0.00258725310691507</v>
      </c>
    </row>
    <row r="27" spans="1:9">
      <c r="A27" s="5">
        <v>45588</v>
      </c>
      <c r="B27" s="6">
        <v>0.0678</v>
      </c>
      <c r="C27" s="7">
        <f t="shared" si="0"/>
        <v>0.0673</v>
      </c>
      <c r="D27" s="7">
        <f t="shared" si="1"/>
        <v>0.0005</v>
      </c>
      <c r="H27" s="10">
        <f t="shared" si="2"/>
        <v>-0.000364974693422421</v>
      </c>
      <c r="I27" s="10">
        <f t="shared" si="3"/>
        <v>0.000864974693422421</v>
      </c>
    </row>
    <row r="28" spans="1:9">
      <c r="A28" s="5">
        <v>45589</v>
      </c>
      <c r="B28" s="6">
        <v>0.0675</v>
      </c>
      <c r="C28" s="7">
        <f t="shared" si="0"/>
        <v>0.0678</v>
      </c>
      <c r="D28" s="7">
        <f t="shared" si="1"/>
        <v>-0.000299999999999995</v>
      </c>
      <c r="F28" s="8" t="s">
        <v>25</v>
      </c>
      <c r="H28" s="10">
        <f t="shared" si="2"/>
        <v>-0.000381870690489236</v>
      </c>
      <c r="I28" s="10">
        <f t="shared" si="3"/>
        <v>8.18706904892413e-5</v>
      </c>
    </row>
    <row r="29" spans="1:9">
      <c r="A29" s="5">
        <v>45590</v>
      </c>
      <c r="B29" s="6">
        <v>0.067</v>
      </c>
      <c r="C29" s="7">
        <f t="shared" si="0"/>
        <v>0.0675</v>
      </c>
      <c r="D29" s="7">
        <f t="shared" si="1"/>
        <v>-0.0005</v>
      </c>
      <c r="H29" s="10">
        <f t="shared" si="2"/>
        <v>-0.000371733092249147</v>
      </c>
      <c r="I29" s="10">
        <f t="shared" si="3"/>
        <v>-0.000128266907750853</v>
      </c>
    </row>
    <row r="30" spans="1:9">
      <c r="A30" s="5">
        <v>45593</v>
      </c>
      <c r="B30" s="6">
        <v>0.0675</v>
      </c>
      <c r="C30" s="7">
        <f t="shared" si="0"/>
        <v>0.067</v>
      </c>
      <c r="D30" s="7">
        <f t="shared" si="1"/>
        <v>0.0005</v>
      </c>
      <c r="H30" s="10">
        <f t="shared" si="2"/>
        <v>-0.000354837095182332</v>
      </c>
      <c r="I30" s="10">
        <f t="shared" si="3"/>
        <v>0.000854837095182332</v>
      </c>
    </row>
    <row r="31" spans="1:9">
      <c r="A31" s="5">
        <v>45594</v>
      </c>
      <c r="B31" s="6">
        <v>0.065</v>
      </c>
      <c r="C31" s="7">
        <f t="shared" si="0"/>
        <v>0.0675</v>
      </c>
      <c r="D31" s="7">
        <f t="shared" si="1"/>
        <v>-0.0025</v>
      </c>
      <c r="H31" s="10">
        <f t="shared" si="2"/>
        <v>-0.000371733092249147</v>
      </c>
      <c r="I31" s="10">
        <f t="shared" si="3"/>
        <v>-0.00212826690775086</v>
      </c>
    </row>
    <row r="32" spans="1:9">
      <c r="A32" s="5">
        <v>45595</v>
      </c>
      <c r="B32" s="6">
        <v>0.065</v>
      </c>
      <c r="C32" s="7">
        <f t="shared" si="0"/>
        <v>0.065</v>
      </c>
      <c r="D32" s="7">
        <f t="shared" si="1"/>
        <v>0</v>
      </c>
      <c r="H32" s="10">
        <f t="shared" si="2"/>
        <v>-0.00028725310691507</v>
      </c>
      <c r="I32" s="10">
        <f t="shared" si="3"/>
        <v>0.00028725310691507</v>
      </c>
    </row>
    <row r="33" spans="1:9">
      <c r="A33" s="5">
        <v>45596</v>
      </c>
      <c r="B33" s="6">
        <v>0.0661</v>
      </c>
      <c r="C33" s="7">
        <f t="shared" si="0"/>
        <v>0.065</v>
      </c>
      <c r="D33" s="7">
        <f t="shared" si="1"/>
        <v>0.0011</v>
      </c>
      <c r="H33" s="10">
        <f t="shared" si="2"/>
        <v>-0.00028725310691507</v>
      </c>
      <c r="I33" s="10">
        <f t="shared" si="3"/>
        <v>0.00138725310691507</v>
      </c>
    </row>
    <row r="34" spans="1:9">
      <c r="A34" s="5">
        <v>45600</v>
      </c>
      <c r="B34" s="6">
        <v>0.065</v>
      </c>
      <c r="C34" s="7">
        <f t="shared" si="0"/>
        <v>0.0661</v>
      </c>
      <c r="D34" s="7">
        <f t="shared" si="1"/>
        <v>-0.0011</v>
      </c>
      <c r="H34" s="10">
        <f t="shared" si="2"/>
        <v>-0.000324424300462064</v>
      </c>
      <c r="I34" s="10">
        <f t="shared" si="3"/>
        <v>-0.000775575699537939</v>
      </c>
    </row>
    <row r="35" spans="1:9">
      <c r="A35" s="5">
        <v>45601</v>
      </c>
      <c r="B35" s="6">
        <v>0.064</v>
      </c>
      <c r="C35" s="7">
        <f t="shared" si="0"/>
        <v>0.065</v>
      </c>
      <c r="D35" s="7">
        <f t="shared" si="1"/>
        <v>-0.001</v>
      </c>
      <c r="H35" s="10">
        <f t="shared" si="2"/>
        <v>-0.00028725310691507</v>
      </c>
      <c r="I35" s="10">
        <f t="shared" si="3"/>
        <v>-0.000712746893084931</v>
      </c>
    </row>
    <row r="36" spans="1:9">
      <c r="A36" s="5">
        <v>45602</v>
      </c>
      <c r="B36" s="6">
        <v>0.064</v>
      </c>
      <c r="C36" s="7">
        <f t="shared" si="0"/>
        <v>0.064</v>
      </c>
      <c r="D36" s="7">
        <f t="shared" si="1"/>
        <v>0</v>
      </c>
      <c r="H36" s="10">
        <f t="shared" si="2"/>
        <v>-0.00025346111278144</v>
      </c>
      <c r="I36" s="10">
        <f t="shared" si="3"/>
        <v>0.00025346111278144</v>
      </c>
    </row>
    <row r="37" spans="1:9">
      <c r="A37" s="5">
        <v>45603</v>
      </c>
      <c r="B37" s="6">
        <v>0.0649</v>
      </c>
      <c r="C37" s="7">
        <f t="shared" si="0"/>
        <v>0.064</v>
      </c>
      <c r="D37" s="7">
        <f t="shared" si="1"/>
        <v>0.000899999999999998</v>
      </c>
      <c r="H37" s="10">
        <f t="shared" si="2"/>
        <v>-0.00025346111278144</v>
      </c>
      <c r="I37" s="10">
        <f t="shared" si="3"/>
        <v>0.00115346111278144</v>
      </c>
    </row>
    <row r="38" spans="1:9">
      <c r="A38" s="5">
        <v>45604</v>
      </c>
      <c r="B38" s="6">
        <v>0.065</v>
      </c>
      <c r="C38" s="7">
        <f t="shared" si="0"/>
        <v>0.0649</v>
      </c>
      <c r="D38" s="7">
        <f t="shared" si="1"/>
        <v>0.000100000000000003</v>
      </c>
      <c r="H38" s="10">
        <f t="shared" si="2"/>
        <v>-0.000283873907501707</v>
      </c>
      <c r="I38" s="10">
        <f t="shared" si="3"/>
        <v>0.00038387390750171</v>
      </c>
    </row>
    <row r="39" spans="1:9">
      <c r="A39" s="5">
        <v>45607</v>
      </c>
      <c r="B39" s="6">
        <v>0.065</v>
      </c>
      <c r="C39" s="7">
        <f t="shared" si="0"/>
        <v>0.065</v>
      </c>
      <c r="D39" s="7">
        <f t="shared" si="1"/>
        <v>0</v>
      </c>
      <c r="H39" s="10">
        <f t="shared" si="2"/>
        <v>-0.00028725310691507</v>
      </c>
      <c r="I39" s="10">
        <f t="shared" si="3"/>
        <v>0.00028725310691507</v>
      </c>
    </row>
    <row r="40" spans="1:9">
      <c r="A40" s="5">
        <v>45608</v>
      </c>
      <c r="B40" s="6">
        <v>0.0654</v>
      </c>
      <c r="C40" s="7">
        <f t="shared" si="0"/>
        <v>0.065</v>
      </c>
      <c r="D40" s="7">
        <f t="shared" si="1"/>
        <v>0.000399999999999998</v>
      </c>
      <c r="H40" s="10">
        <f t="shared" si="2"/>
        <v>-0.00028725310691507</v>
      </c>
      <c r="I40" s="10">
        <f t="shared" si="3"/>
        <v>0.000687253106915068</v>
      </c>
    </row>
    <row r="41" spans="1:9">
      <c r="A41" s="5">
        <v>45609</v>
      </c>
      <c r="B41" s="6">
        <v>0.0646</v>
      </c>
      <c r="C41" s="7">
        <f t="shared" si="0"/>
        <v>0.0654</v>
      </c>
      <c r="D41" s="7">
        <f t="shared" si="1"/>
        <v>-0.000799999999999995</v>
      </c>
      <c r="H41" s="10">
        <f t="shared" si="2"/>
        <v>-0.000300769904568522</v>
      </c>
      <c r="I41" s="10">
        <f t="shared" si="3"/>
        <v>-0.000499230095431473</v>
      </c>
    </row>
    <row r="42" spans="1:9">
      <c r="A42" s="5">
        <v>45610</v>
      </c>
      <c r="B42" s="6">
        <v>0.065</v>
      </c>
      <c r="C42" s="7">
        <f t="shared" si="0"/>
        <v>0.0646</v>
      </c>
      <c r="D42" s="7">
        <f t="shared" si="1"/>
        <v>0.000399999999999998</v>
      </c>
      <c r="H42" s="10">
        <f t="shared" si="2"/>
        <v>-0.000273736309261618</v>
      </c>
      <c r="I42" s="10">
        <f t="shared" si="3"/>
        <v>0.000673736309261616</v>
      </c>
    </row>
    <row r="43" spans="1:9">
      <c r="A43" s="5">
        <v>45614</v>
      </c>
      <c r="B43" s="6">
        <v>0.0652</v>
      </c>
      <c r="C43" s="7">
        <f t="shared" si="0"/>
        <v>0.065</v>
      </c>
      <c r="D43" s="7">
        <f t="shared" si="1"/>
        <v>0.000199999999999992</v>
      </c>
      <c r="H43" s="10">
        <f t="shared" si="2"/>
        <v>-0.00028725310691507</v>
      </c>
      <c r="I43" s="10">
        <f t="shared" si="3"/>
        <v>0.000487253106915062</v>
      </c>
    </row>
    <row r="44" spans="1:9">
      <c r="A44" s="5">
        <v>45615</v>
      </c>
      <c r="B44" s="6">
        <v>0.0657</v>
      </c>
      <c r="C44" s="7">
        <f t="shared" si="0"/>
        <v>0.0652</v>
      </c>
      <c r="D44" s="7">
        <f t="shared" si="1"/>
        <v>0.0005</v>
      </c>
      <c r="H44" s="10">
        <f t="shared" si="2"/>
        <v>-0.000294011505741796</v>
      </c>
      <c r="I44" s="10">
        <f t="shared" si="3"/>
        <v>0.000794011505741796</v>
      </c>
    </row>
    <row r="45" spans="1:9">
      <c r="A45" s="5">
        <v>45617</v>
      </c>
      <c r="B45" s="6">
        <v>0.0671</v>
      </c>
      <c r="C45" s="7">
        <f t="shared" si="0"/>
        <v>0.0657</v>
      </c>
      <c r="D45" s="7">
        <f t="shared" si="1"/>
        <v>0.00140000000000001</v>
      </c>
      <c r="H45" s="10">
        <f t="shared" si="2"/>
        <v>-0.000310907502808612</v>
      </c>
      <c r="I45" s="10">
        <f t="shared" si="3"/>
        <v>0.00171090750280862</v>
      </c>
    </row>
    <row r="46" spans="1:9">
      <c r="A46" s="5">
        <v>45618</v>
      </c>
      <c r="B46" s="6">
        <v>0.0684</v>
      </c>
      <c r="C46" s="7">
        <f t="shared" si="0"/>
        <v>0.0671</v>
      </c>
      <c r="D46" s="7">
        <f t="shared" si="1"/>
        <v>0.0013</v>
      </c>
      <c r="H46" s="10">
        <f t="shared" si="2"/>
        <v>-0.000358216294595695</v>
      </c>
      <c r="I46" s="10">
        <f t="shared" si="3"/>
        <v>0.00165821629459569</v>
      </c>
    </row>
    <row r="47" spans="1:9">
      <c r="A47" s="5">
        <v>45621</v>
      </c>
      <c r="B47" s="6">
        <v>0.0685</v>
      </c>
      <c r="C47" s="7">
        <f t="shared" si="0"/>
        <v>0.0684</v>
      </c>
      <c r="D47" s="7">
        <f t="shared" si="1"/>
        <v>0.000100000000000003</v>
      </c>
      <c r="H47" s="10">
        <f t="shared" si="2"/>
        <v>-0.000402145886969415</v>
      </c>
      <c r="I47" s="10">
        <f t="shared" si="3"/>
        <v>0.000502145886969417</v>
      </c>
    </row>
    <row r="48" spans="1:9">
      <c r="A48" s="5">
        <v>45622</v>
      </c>
      <c r="B48" s="6">
        <v>0.0684</v>
      </c>
      <c r="C48" s="7">
        <f t="shared" si="0"/>
        <v>0.0685</v>
      </c>
      <c r="D48" s="7">
        <f t="shared" si="1"/>
        <v>-0.000100000000000003</v>
      </c>
      <c r="H48" s="10">
        <f t="shared" si="2"/>
        <v>-0.000405525086382778</v>
      </c>
      <c r="I48" s="10">
        <f t="shared" si="3"/>
        <v>0.000305525086382775</v>
      </c>
    </row>
    <row r="49" spans="1:9">
      <c r="A49" s="5">
        <v>45623</v>
      </c>
      <c r="B49" s="6">
        <v>0.0684</v>
      </c>
      <c r="C49" s="7">
        <f t="shared" si="0"/>
        <v>0.0684</v>
      </c>
      <c r="D49" s="7">
        <f t="shared" si="1"/>
        <v>0</v>
      </c>
      <c r="H49" s="10">
        <f t="shared" si="2"/>
        <v>-0.000402145886969415</v>
      </c>
      <c r="I49" s="10">
        <f t="shared" si="3"/>
        <v>0.000402145886969415</v>
      </c>
    </row>
    <row r="50" spans="1:9">
      <c r="A50" s="5">
        <v>45624</v>
      </c>
      <c r="B50" s="6">
        <v>0.0682</v>
      </c>
      <c r="C50" s="7">
        <f t="shared" si="0"/>
        <v>0.0684</v>
      </c>
      <c r="D50" s="7">
        <f t="shared" si="1"/>
        <v>-0.000200000000000006</v>
      </c>
      <c r="H50" s="10">
        <f t="shared" si="2"/>
        <v>-0.000402145886969415</v>
      </c>
      <c r="I50" s="10">
        <f t="shared" si="3"/>
        <v>0.000202145886969409</v>
      </c>
    </row>
    <row r="51" spans="1:9">
      <c r="A51" s="5">
        <v>45625</v>
      </c>
      <c r="B51" s="6">
        <v>0.0676</v>
      </c>
      <c r="C51" s="7">
        <f t="shared" si="0"/>
        <v>0.0682</v>
      </c>
      <c r="D51" s="7">
        <f t="shared" si="1"/>
        <v>-0.000600000000000003</v>
      </c>
      <c r="H51" s="10">
        <f t="shared" si="2"/>
        <v>-0.000395387488142688</v>
      </c>
      <c r="I51" s="10">
        <f t="shared" si="3"/>
        <v>-0.000204612511857315</v>
      </c>
    </row>
    <row r="52" spans="1:9">
      <c r="A52" s="5">
        <v>45628</v>
      </c>
      <c r="B52" s="6">
        <v>0.066</v>
      </c>
      <c r="C52" s="7">
        <f t="shared" si="0"/>
        <v>0.0676</v>
      </c>
      <c r="D52" s="7">
        <f t="shared" si="1"/>
        <v>-0.00159999999999999</v>
      </c>
      <c r="H52" s="10">
        <f t="shared" si="2"/>
        <v>-0.00037511229166251</v>
      </c>
      <c r="I52" s="10">
        <f t="shared" si="3"/>
        <v>-0.00122488770833748</v>
      </c>
    </row>
    <row r="53" spans="1:9">
      <c r="A53" s="5">
        <v>45629</v>
      </c>
      <c r="B53" s="6">
        <v>0.065</v>
      </c>
      <c r="C53" s="7">
        <f t="shared" si="0"/>
        <v>0.066</v>
      </c>
      <c r="D53" s="7">
        <f t="shared" si="1"/>
        <v>-0.001</v>
      </c>
      <c r="H53" s="10">
        <f t="shared" si="2"/>
        <v>-0.000321045101048701</v>
      </c>
      <c r="I53" s="10">
        <f t="shared" si="3"/>
        <v>-0.0006789548989513</v>
      </c>
    </row>
    <row r="54" spans="1:9">
      <c r="A54" s="5">
        <v>45630</v>
      </c>
      <c r="B54" s="6">
        <v>0.065</v>
      </c>
      <c r="C54" s="7">
        <f t="shared" si="0"/>
        <v>0.065</v>
      </c>
      <c r="D54" s="7">
        <f t="shared" si="1"/>
        <v>0</v>
      </c>
      <c r="H54" s="10">
        <f t="shared" si="2"/>
        <v>-0.00028725310691507</v>
      </c>
      <c r="I54" s="10">
        <f t="shared" si="3"/>
        <v>0.00028725310691507</v>
      </c>
    </row>
    <row r="55" spans="1:9">
      <c r="A55" s="5">
        <v>45631</v>
      </c>
      <c r="B55" s="6">
        <v>0.066</v>
      </c>
      <c r="C55" s="7">
        <f t="shared" si="0"/>
        <v>0.065</v>
      </c>
      <c r="D55" s="7">
        <f t="shared" si="1"/>
        <v>0.001</v>
      </c>
      <c r="H55" s="10">
        <f t="shared" si="2"/>
        <v>-0.00028725310691507</v>
      </c>
      <c r="I55" s="10">
        <f t="shared" si="3"/>
        <v>0.00128725310691507</v>
      </c>
    </row>
    <row r="56" spans="1:9">
      <c r="A56" s="5">
        <v>45632</v>
      </c>
      <c r="B56" s="6">
        <v>0.0654</v>
      </c>
      <c r="C56" s="7">
        <f t="shared" si="0"/>
        <v>0.066</v>
      </c>
      <c r="D56" s="7">
        <f t="shared" si="1"/>
        <v>-0.000600000000000003</v>
      </c>
      <c r="H56" s="10">
        <f t="shared" si="2"/>
        <v>-0.000321045101048701</v>
      </c>
      <c r="I56" s="10">
        <f t="shared" si="3"/>
        <v>-0.000278954898951302</v>
      </c>
    </row>
    <row r="57" spans="1:9">
      <c r="A57" s="5">
        <v>45635</v>
      </c>
      <c r="B57" s="6">
        <v>0.0667</v>
      </c>
      <c r="C57" s="7">
        <f t="shared" si="0"/>
        <v>0.0654</v>
      </c>
      <c r="D57" s="7">
        <f t="shared" si="1"/>
        <v>0.0013</v>
      </c>
      <c r="H57" s="10">
        <f t="shared" si="2"/>
        <v>-0.000300769904568522</v>
      </c>
      <c r="I57" s="10">
        <f t="shared" si="3"/>
        <v>0.00160076990456852</v>
      </c>
    </row>
    <row r="58" spans="1:9">
      <c r="A58" s="5">
        <v>45636</v>
      </c>
      <c r="B58" s="6">
        <v>0.068</v>
      </c>
      <c r="C58" s="7">
        <f t="shared" si="0"/>
        <v>0.0667</v>
      </c>
      <c r="D58" s="7">
        <f t="shared" si="1"/>
        <v>0.00130000000000001</v>
      </c>
      <c r="H58" s="10">
        <f t="shared" si="2"/>
        <v>-0.000344699496942242</v>
      </c>
      <c r="I58" s="10">
        <f t="shared" si="3"/>
        <v>0.00164469949694225</v>
      </c>
    </row>
    <row r="59" spans="1:9">
      <c r="A59" s="5">
        <v>45637</v>
      </c>
      <c r="B59" s="6">
        <v>0.0684</v>
      </c>
      <c r="C59" s="7">
        <f t="shared" si="0"/>
        <v>0.068</v>
      </c>
      <c r="D59" s="7">
        <f t="shared" si="1"/>
        <v>0.000399999999999998</v>
      </c>
      <c r="H59" s="10">
        <f t="shared" si="2"/>
        <v>-0.000388629089315962</v>
      </c>
      <c r="I59" s="10">
        <f t="shared" si="3"/>
        <v>0.00078862908931596</v>
      </c>
    </row>
    <row r="60" spans="1:9">
      <c r="A60" s="5">
        <v>45638</v>
      </c>
      <c r="B60" s="6">
        <v>0.0676</v>
      </c>
      <c r="C60" s="7">
        <f t="shared" si="0"/>
        <v>0.0684</v>
      </c>
      <c r="D60" s="7">
        <f t="shared" si="1"/>
        <v>-0.000800000000000009</v>
      </c>
      <c r="H60" s="10">
        <f t="shared" si="2"/>
        <v>-0.000402145886969415</v>
      </c>
      <c r="I60" s="10">
        <f t="shared" si="3"/>
        <v>-0.000397854113030594</v>
      </c>
    </row>
    <row r="61" spans="1:9">
      <c r="A61" s="5">
        <v>45639</v>
      </c>
      <c r="B61" s="6">
        <v>0.0676</v>
      </c>
      <c r="C61" s="7">
        <f t="shared" si="0"/>
        <v>0.0676</v>
      </c>
      <c r="D61" s="7">
        <f t="shared" si="1"/>
        <v>0</v>
      </c>
      <c r="H61" s="10">
        <f t="shared" si="2"/>
        <v>-0.00037511229166251</v>
      </c>
      <c r="I61" s="10">
        <f t="shared" si="3"/>
        <v>0.00037511229166251</v>
      </c>
    </row>
    <row r="62" spans="1:9">
      <c r="A62" s="5">
        <v>45642</v>
      </c>
      <c r="B62" s="6">
        <v>0.0679</v>
      </c>
      <c r="C62" s="7">
        <f t="shared" si="0"/>
        <v>0.0676</v>
      </c>
      <c r="D62" s="7">
        <f t="shared" si="1"/>
        <v>0.000300000000000009</v>
      </c>
      <c r="H62" s="10">
        <f t="shared" si="2"/>
        <v>-0.00037511229166251</v>
      </c>
      <c r="I62" s="10">
        <f t="shared" si="3"/>
        <v>0.000675112291662518</v>
      </c>
    </row>
    <row r="63" spans="1:9">
      <c r="A63" s="5">
        <v>45643</v>
      </c>
      <c r="B63" s="6">
        <v>0.0684</v>
      </c>
      <c r="C63" s="7">
        <f t="shared" si="0"/>
        <v>0.0679</v>
      </c>
      <c r="D63" s="7">
        <f t="shared" si="1"/>
        <v>0.0005</v>
      </c>
      <c r="H63" s="10">
        <f t="shared" si="2"/>
        <v>-0.000385249889902599</v>
      </c>
      <c r="I63" s="10">
        <f t="shared" si="3"/>
        <v>0.0008852498899026</v>
      </c>
    </row>
    <row r="64" spans="1:9">
      <c r="A64" s="5">
        <v>45644</v>
      </c>
      <c r="B64" s="6">
        <v>0.0682</v>
      </c>
      <c r="C64" s="7">
        <f t="shared" si="0"/>
        <v>0.0684</v>
      </c>
      <c r="D64" s="7">
        <f t="shared" si="1"/>
        <v>-0.000200000000000006</v>
      </c>
      <c r="H64" s="10">
        <f t="shared" si="2"/>
        <v>-0.000402145886969415</v>
      </c>
      <c r="I64" s="10">
        <f t="shared" si="3"/>
        <v>0.000202145886969409</v>
      </c>
    </row>
    <row r="65" spans="1:9">
      <c r="A65" s="5">
        <v>45645</v>
      </c>
      <c r="B65" s="6">
        <v>0.0684</v>
      </c>
      <c r="C65" s="7">
        <f t="shared" si="0"/>
        <v>0.0682</v>
      </c>
      <c r="D65" s="7">
        <f t="shared" si="1"/>
        <v>0.000200000000000006</v>
      </c>
      <c r="H65" s="10">
        <f t="shared" si="2"/>
        <v>-0.000395387488142688</v>
      </c>
      <c r="I65" s="10">
        <f t="shared" si="3"/>
        <v>0.000595387488142694</v>
      </c>
    </row>
    <row r="66" spans="1:9">
      <c r="A66" s="5">
        <v>45646</v>
      </c>
      <c r="B66" s="6">
        <v>0.0689</v>
      </c>
      <c r="C66" s="7">
        <f t="shared" si="0"/>
        <v>0.0684</v>
      </c>
      <c r="D66" s="7">
        <f t="shared" si="1"/>
        <v>0.0005</v>
      </c>
      <c r="H66" s="10">
        <f t="shared" si="2"/>
        <v>-0.000402145886969415</v>
      </c>
      <c r="I66" s="10">
        <f t="shared" si="3"/>
        <v>0.000902145886969415</v>
      </c>
    </row>
    <row r="67" spans="1:9">
      <c r="A67" s="5">
        <v>45649</v>
      </c>
      <c r="B67" s="6">
        <v>0.0684</v>
      </c>
      <c r="C67" s="7">
        <f t="shared" ref="C67:C130" si="4">B66</f>
        <v>0.0689</v>
      </c>
      <c r="D67" s="7">
        <f t="shared" ref="D67:D130" si="5">B67-C67</f>
        <v>-0.0005</v>
      </c>
      <c r="H67" s="10">
        <f t="shared" ref="H67:H130" si="6">$G$10+$G$9*C67</f>
        <v>-0.00041904188403623</v>
      </c>
      <c r="I67" s="10">
        <f t="shared" ref="I67:I130" si="7">D67-H67</f>
        <v>-8.09581159637706e-5</v>
      </c>
    </row>
    <row r="68" spans="1:9">
      <c r="A68" s="5">
        <v>45650</v>
      </c>
      <c r="B68" s="6">
        <v>0.0686</v>
      </c>
      <c r="C68" s="7">
        <f t="shared" si="4"/>
        <v>0.0684</v>
      </c>
      <c r="D68" s="7">
        <f t="shared" si="5"/>
        <v>0.000199999999999992</v>
      </c>
      <c r="H68" s="10">
        <f t="shared" si="6"/>
        <v>-0.000402145886969415</v>
      </c>
      <c r="I68" s="10">
        <f t="shared" si="7"/>
        <v>0.000602145886969406</v>
      </c>
    </row>
    <row r="69" spans="1:9">
      <c r="A69" s="5">
        <v>45652</v>
      </c>
      <c r="B69" s="6">
        <v>0.0675</v>
      </c>
      <c r="C69" s="7">
        <f t="shared" si="4"/>
        <v>0.0686</v>
      </c>
      <c r="D69" s="7">
        <f t="shared" si="5"/>
        <v>-0.00109999999999999</v>
      </c>
      <c r="H69" s="10">
        <f t="shared" si="6"/>
        <v>-0.000408904285796141</v>
      </c>
      <c r="I69" s="10">
        <f t="shared" si="7"/>
        <v>-0.000691095714203849</v>
      </c>
    </row>
    <row r="70" spans="1:9">
      <c r="A70" s="5">
        <v>45653</v>
      </c>
      <c r="B70" s="6">
        <v>0.069</v>
      </c>
      <c r="C70" s="7">
        <f t="shared" si="4"/>
        <v>0.0675</v>
      </c>
      <c r="D70" s="7">
        <f t="shared" si="5"/>
        <v>0.0015</v>
      </c>
      <c r="H70" s="10">
        <f t="shared" si="6"/>
        <v>-0.000371733092249147</v>
      </c>
      <c r="I70" s="10">
        <f t="shared" si="7"/>
        <v>0.00187173309224915</v>
      </c>
    </row>
    <row r="71" spans="1:9">
      <c r="A71" s="5">
        <v>45656</v>
      </c>
      <c r="B71" s="6">
        <v>0.069</v>
      </c>
      <c r="C71" s="7">
        <f t="shared" si="4"/>
        <v>0.069</v>
      </c>
      <c r="D71" s="7">
        <f t="shared" si="5"/>
        <v>0</v>
      </c>
      <c r="H71" s="10">
        <f t="shared" si="6"/>
        <v>-0.000422421083449593</v>
      </c>
      <c r="I71" s="10">
        <f t="shared" si="7"/>
        <v>0.000422421083449593</v>
      </c>
    </row>
    <row r="72" spans="1:9">
      <c r="A72" s="5">
        <v>45657</v>
      </c>
      <c r="B72" s="6">
        <v>0.0715</v>
      </c>
      <c r="C72" s="7">
        <f t="shared" si="4"/>
        <v>0.069</v>
      </c>
      <c r="D72" s="7">
        <f t="shared" si="5"/>
        <v>0.00249999999999999</v>
      </c>
      <c r="H72" s="10">
        <f t="shared" si="6"/>
        <v>-0.000422421083449593</v>
      </c>
      <c r="I72" s="10">
        <f t="shared" si="7"/>
        <v>0.00292242108344958</v>
      </c>
    </row>
    <row r="73" spans="1:9">
      <c r="A73" s="5">
        <v>45658</v>
      </c>
      <c r="B73" s="6">
        <v>0.066</v>
      </c>
      <c r="C73" s="7">
        <f t="shared" si="4"/>
        <v>0.0715</v>
      </c>
      <c r="D73" s="7">
        <f t="shared" si="5"/>
        <v>-0.00549999999999999</v>
      </c>
      <c r="H73" s="10">
        <f t="shared" si="6"/>
        <v>-0.000506901068783669</v>
      </c>
      <c r="I73" s="10">
        <f t="shared" si="7"/>
        <v>-0.00499309893121632</v>
      </c>
    </row>
    <row r="74" spans="1:9">
      <c r="A74" s="5">
        <v>45659</v>
      </c>
      <c r="B74" s="6">
        <v>0.0656</v>
      </c>
      <c r="C74" s="7">
        <f t="shared" si="4"/>
        <v>0.066</v>
      </c>
      <c r="D74" s="7">
        <f t="shared" si="5"/>
        <v>-0.000399999999999998</v>
      </c>
      <c r="H74" s="10">
        <f t="shared" si="6"/>
        <v>-0.000321045101048701</v>
      </c>
      <c r="I74" s="10">
        <f t="shared" si="7"/>
        <v>-7.89548989512967e-5</v>
      </c>
    </row>
    <row r="75" spans="1:9">
      <c r="A75" s="5">
        <v>45660</v>
      </c>
      <c r="B75" s="6">
        <v>0.0656</v>
      </c>
      <c r="C75" s="7">
        <f t="shared" si="4"/>
        <v>0.0656</v>
      </c>
      <c r="D75" s="7">
        <f t="shared" si="5"/>
        <v>0</v>
      </c>
      <c r="H75" s="10">
        <f t="shared" si="6"/>
        <v>-0.000307528303395249</v>
      </c>
      <c r="I75" s="10">
        <f t="shared" si="7"/>
        <v>0.000307528303395249</v>
      </c>
    </row>
    <row r="76" spans="1:9">
      <c r="A76" s="5">
        <v>45663</v>
      </c>
      <c r="B76" s="6">
        <v>0.0675</v>
      </c>
      <c r="C76" s="7">
        <f t="shared" si="4"/>
        <v>0.0656</v>
      </c>
      <c r="D76" s="7">
        <f t="shared" si="5"/>
        <v>0.0019</v>
      </c>
      <c r="H76" s="10">
        <f t="shared" si="6"/>
        <v>-0.000307528303395249</v>
      </c>
      <c r="I76" s="10">
        <f t="shared" si="7"/>
        <v>0.00220752830339525</v>
      </c>
    </row>
    <row r="77" spans="1:9">
      <c r="A77" s="5">
        <v>45664</v>
      </c>
      <c r="B77" s="6">
        <v>0.069</v>
      </c>
      <c r="C77" s="7">
        <f t="shared" si="4"/>
        <v>0.0675</v>
      </c>
      <c r="D77" s="7">
        <f t="shared" si="5"/>
        <v>0.0015</v>
      </c>
      <c r="H77" s="10">
        <f t="shared" si="6"/>
        <v>-0.000371733092249147</v>
      </c>
      <c r="I77" s="10">
        <f t="shared" si="7"/>
        <v>0.00187173309224915</v>
      </c>
    </row>
    <row r="78" spans="1:9">
      <c r="A78" s="5">
        <v>45665</v>
      </c>
      <c r="B78" s="6">
        <v>0.0688</v>
      </c>
      <c r="C78" s="7">
        <f t="shared" si="4"/>
        <v>0.069</v>
      </c>
      <c r="D78" s="7">
        <f t="shared" si="5"/>
        <v>-0.000200000000000006</v>
      </c>
      <c r="H78" s="10">
        <f t="shared" si="6"/>
        <v>-0.000422421083449593</v>
      </c>
      <c r="I78" s="10">
        <f t="shared" si="7"/>
        <v>0.000222421083449588</v>
      </c>
    </row>
    <row r="79" spans="1:9">
      <c r="A79" s="5">
        <v>45666</v>
      </c>
      <c r="B79" s="6">
        <v>0.0699</v>
      </c>
      <c r="C79" s="7">
        <f t="shared" si="4"/>
        <v>0.0688</v>
      </c>
      <c r="D79" s="7">
        <f t="shared" si="5"/>
        <v>0.0011</v>
      </c>
      <c r="H79" s="10">
        <f t="shared" si="6"/>
        <v>-0.000415662684622867</v>
      </c>
      <c r="I79" s="10">
        <f t="shared" si="7"/>
        <v>0.00151566268462287</v>
      </c>
    </row>
    <row r="80" spans="1:9">
      <c r="A80" s="5">
        <v>45667</v>
      </c>
      <c r="B80" s="6">
        <v>0.0708</v>
      </c>
      <c r="C80" s="7">
        <f t="shared" si="4"/>
        <v>0.0699</v>
      </c>
      <c r="D80" s="7">
        <f t="shared" si="5"/>
        <v>0.000899999999999998</v>
      </c>
      <c r="H80" s="10">
        <f t="shared" si="6"/>
        <v>-0.000452833878169861</v>
      </c>
      <c r="I80" s="10">
        <f t="shared" si="7"/>
        <v>0.00135283387816986</v>
      </c>
    </row>
    <row r="81" spans="1:9">
      <c r="A81" s="5">
        <v>45670</v>
      </c>
      <c r="B81" s="6">
        <v>0.07</v>
      </c>
      <c r="C81" s="7">
        <f t="shared" si="4"/>
        <v>0.0708</v>
      </c>
      <c r="D81" s="7">
        <f t="shared" si="5"/>
        <v>-0.000799999999999995</v>
      </c>
      <c r="H81" s="10">
        <f t="shared" si="6"/>
        <v>-0.000483246672890128</v>
      </c>
      <c r="I81" s="10">
        <f t="shared" si="7"/>
        <v>-0.000316753327109867</v>
      </c>
    </row>
    <row r="82" spans="1:9">
      <c r="A82" s="5">
        <v>45671</v>
      </c>
      <c r="B82" s="6">
        <v>0.066</v>
      </c>
      <c r="C82" s="7">
        <f t="shared" si="4"/>
        <v>0.07</v>
      </c>
      <c r="D82" s="7">
        <f t="shared" si="5"/>
        <v>-0.004</v>
      </c>
      <c r="H82" s="10">
        <f t="shared" si="6"/>
        <v>-0.000456213077583224</v>
      </c>
      <c r="I82" s="10">
        <f t="shared" si="7"/>
        <v>-0.00354378692241678</v>
      </c>
    </row>
    <row r="83" spans="1:9">
      <c r="A83" s="5">
        <v>45672</v>
      </c>
      <c r="B83" s="6">
        <v>0.065</v>
      </c>
      <c r="C83" s="7">
        <f t="shared" si="4"/>
        <v>0.066</v>
      </c>
      <c r="D83" s="7">
        <f t="shared" si="5"/>
        <v>-0.001</v>
      </c>
      <c r="H83" s="10">
        <f t="shared" si="6"/>
        <v>-0.000321045101048701</v>
      </c>
      <c r="I83" s="10">
        <f t="shared" si="7"/>
        <v>-0.0006789548989513</v>
      </c>
    </row>
    <row r="84" spans="1:9">
      <c r="A84" s="5">
        <v>45673</v>
      </c>
      <c r="B84" s="6">
        <v>0.0663</v>
      </c>
      <c r="C84" s="7">
        <f t="shared" si="4"/>
        <v>0.065</v>
      </c>
      <c r="D84" s="7">
        <f t="shared" si="5"/>
        <v>0.0013</v>
      </c>
      <c r="H84" s="10">
        <f t="shared" si="6"/>
        <v>-0.00028725310691507</v>
      </c>
      <c r="I84" s="10">
        <f t="shared" si="7"/>
        <v>0.00158725310691507</v>
      </c>
    </row>
    <row r="85" spans="1:9">
      <c r="A85" s="5">
        <v>45674</v>
      </c>
      <c r="B85" s="6">
        <v>0.0664</v>
      </c>
      <c r="C85" s="7">
        <f t="shared" si="4"/>
        <v>0.0663</v>
      </c>
      <c r="D85" s="7">
        <f t="shared" si="5"/>
        <v>0.000100000000000003</v>
      </c>
      <c r="H85" s="10">
        <f t="shared" si="6"/>
        <v>-0.00033118269928879</v>
      </c>
      <c r="I85" s="10">
        <f t="shared" si="7"/>
        <v>0.000431182699288793</v>
      </c>
    </row>
    <row r="86" spans="1:9">
      <c r="A86" s="5">
        <v>45677</v>
      </c>
      <c r="B86" s="6">
        <v>0.0675</v>
      </c>
      <c r="C86" s="7">
        <f t="shared" si="4"/>
        <v>0.0664</v>
      </c>
      <c r="D86" s="7">
        <f t="shared" si="5"/>
        <v>0.0011</v>
      </c>
      <c r="H86" s="10">
        <f t="shared" si="6"/>
        <v>-0.000334561898702153</v>
      </c>
      <c r="I86" s="10">
        <f t="shared" si="7"/>
        <v>0.00143456189870216</v>
      </c>
    </row>
    <row r="87" spans="1:9">
      <c r="A87" s="5">
        <v>45678</v>
      </c>
      <c r="B87" s="6">
        <v>0.0661</v>
      </c>
      <c r="C87" s="7">
        <f t="shared" si="4"/>
        <v>0.0675</v>
      </c>
      <c r="D87" s="7">
        <f t="shared" si="5"/>
        <v>-0.0014</v>
      </c>
      <c r="H87" s="10">
        <f t="shared" si="6"/>
        <v>-0.000371733092249147</v>
      </c>
      <c r="I87" s="10">
        <f t="shared" si="7"/>
        <v>-0.00102826690775085</v>
      </c>
    </row>
    <row r="88" spans="1:9">
      <c r="A88" s="5">
        <v>45679</v>
      </c>
      <c r="B88" s="6">
        <v>0.0662</v>
      </c>
      <c r="C88" s="7">
        <f t="shared" si="4"/>
        <v>0.0661</v>
      </c>
      <c r="D88" s="7">
        <f t="shared" si="5"/>
        <v>9.9999999999989e-5</v>
      </c>
      <c r="H88" s="10">
        <f t="shared" si="6"/>
        <v>-0.000324424300462064</v>
      </c>
      <c r="I88" s="10">
        <f t="shared" si="7"/>
        <v>0.000424424300462053</v>
      </c>
    </row>
    <row r="89" spans="1:9">
      <c r="A89" s="5">
        <v>45680</v>
      </c>
      <c r="B89" s="6">
        <v>0.0665</v>
      </c>
      <c r="C89" s="7">
        <f t="shared" si="4"/>
        <v>0.0662</v>
      </c>
      <c r="D89" s="7">
        <f t="shared" si="5"/>
        <v>0.000300000000000009</v>
      </c>
      <c r="H89" s="10">
        <f t="shared" si="6"/>
        <v>-0.000327803499875427</v>
      </c>
      <c r="I89" s="10">
        <f t="shared" si="7"/>
        <v>0.000627803499875435</v>
      </c>
    </row>
    <row r="90" spans="1:9">
      <c r="A90" s="5">
        <v>45681</v>
      </c>
      <c r="B90" s="6">
        <v>0.0665</v>
      </c>
      <c r="C90" s="7">
        <f t="shared" si="4"/>
        <v>0.0665</v>
      </c>
      <c r="D90" s="7">
        <f t="shared" si="5"/>
        <v>0</v>
      </c>
      <c r="H90" s="10">
        <f t="shared" si="6"/>
        <v>-0.000337941098115516</v>
      </c>
      <c r="I90" s="10">
        <f t="shared" si="7"/>
        <v>0.000337941098115516</v>
      </c>
    </row>
    <row r="91" spans="1:9">
      <c r="A91" s="5">
        <v>45684</v>
      </c>
      <c r="B91" s="6">
        <v>0.0665</v>
      </c>
      <c r="C91" s="7">
        <f t="shared" si="4"/>
        <v>0.0665</v>
      </c>
      <c r="D91" s="7">
        <f t="shared" si="5"/>
        <v>0</v>
      </c>
      <c r="H91" s="10">
        <f t="shared" si="6"/>
        <v>-0.000337941098115516</v>
      </c>
      <c r="I91" s="10">
        <f t="shared" si="7"/>
        <v>0.000337941098115516</v>
      </c>
    </row>
    <row r="92" spans="1:9">
      <c r="A92" s="5">
        <v>45685</v>
      </c>
      <c r="B92" s="6">
        <v>0.0663</v>
      </c>
      <c r="C92" s="7">
        <f t="shared" si="4"/>
        <v>0.0665</v>
      </c>
      <c r="D92" s="7">
        <f t="shared" si="5"/>
        <v>-0.000200000000000006</v>
      </c>
      <c r="H92" s="10">
        <f t="shared" si="6"/>
        <v>-0.000337941098115516</v>
      </c>
      <c r="I92" s="10">
        <f t="shared" si="7"/>
        <v>0.00013794109811551</v>
      </c>
    </row>
    <row r="93" spans="1:9">
      <c r="A93" s="5">
        <v>45686</v>
      </c>
      <c r="B93" s="6">
        <v>0.0665</v>
      </c>
      <c r="C93" s="7">
        <f t="shared" si="4"/>
        <v>0.0663</v>
      </c>
      <c r="D93" s="7">
        <f t="shared" si="5"/>
        <v>0.000200000000000006</v>
      </c>
      <c r="H93" s="10">
        <f t="shared" si="6"/>
        <v>-0.00033118269928879</v>
      </c>
      <c r="I93" s="10">
        <f t="shared" si="7"/>
        <v>0.000531182699288796</v>
      </c>
    </row>
    <row r="94" spans="1:9">
      <c r="A94" s="5">
        <v>45687</v>
      </c>
      <c r="B94" s="6">
        <v>0.0665</v>
      </c>
      <c r="C94" s="7">
        <f t="shared" si="4"/>
        <v>0.0665</v>
      </c>
      <c r="D94" s="7">
        <f t="shared" si="5"/>
        <v>0</v>
      </c>
      <c r="H94" s="10">
        <f t="shared" si="6"/>
        <v>-0.000337941098115516</v>
      </c>
      <c r="I94" s="10">
        <f t="shared" si="7"/>
        <v>0.000337941098115516</v>
      </c>
    </row>
    <row r="95" spans="1:9">
      <c r="A95" s="5">
        <v>45688</v>
      </c>
      <c r="B95" s="6">
        <v>0.0665</v>
      </c>
      <c r="C95" s="7">
        <f t="shared" si="4"/>
        <v>0.0665</v>
      </c>
      <c r="D95" s="7">
        <f t="shared" si="5"/>
        <v>0</v>
      </c>
      <c r="H95" s="10">
        <f t="shared" si="6"/>
        <v>-0.000337941098115516</v>
      </c>
      <c r="I95" s="10">
        <f t="shared" si="7"/>
        <v>0.000337941098115516</v>
      </c>
    </row>
    <row r="96" spans="1:9">
      <c r="A96" s="5">
        <v>45691</v>
      </c>
      <c r="B96" s="6">
        <v>0.0665</v>
      </c>
      <c r="C96" s="7">
        <f t="shared" si="4"/>
        <v>0.0665</v>
      </c>
      <c r="D96" s="7">
        <f t="shared" si="5"/>
        <v>0</v>
      </c>
      <c r="H96" s="10">
        <f t="shared" si="6"/>
        <v>-0.000337941098115516</v>
      </c>
      <c r="I96" s="10">
        <f t="shared" si="7"/>
        <v>0.000337941098115516</v>
      </c>
    </row>
    <row r="97" spans="1:9">
      <c r="A97" s="5">
        <v>45692</v>
      </c>
      <c r="B97" s="6">
        <v>0.0661</v>
      </c>
      <c r="C97" s="7">
        <f t="shared" si="4"/>
        <v>0.0665</v>
      </c>
      <c r="D97" s="7">
        <f t="shared" si="5"/>
        <v>-0.000399999999999998</v>
      </c>
      <c r="H97" s="10">
        <f t="shared" si="6"/>
        <v>-0.000337941098115516</v>
      </c>
      <c r="I97" s="10">
        <f t="shared" si="7"/>
        <v>-6.20589018844814e-5</v>
      </c>
    </row>
    <row r="98" spans="1:9">
      <c r="A98" s="5">
        <v>45693</v>
      </c>
      <c r="B98" s="6">
        <v>0.0658</v>
      </c>
      <c r="C98" s="7">
        <f t="shared" si="4"/>
        <v>0.0661</v>
      </c>
      <c r="D98" s="7">
        <f t="shared" si="5"/>
        <v>-0.000300000000000009</v>
      </c>
      <c r="H98" s="10">
        <f t="shared" si="6"/>
        <v>-0.000324424300462064</v>
      </c>
      <c r="I98" s="10">
        <f t="shared" si="7"/>
        <v>2.44243004620557e-5</v>
      </c>
    </row>
    <row r="99" spans="1:9">
      <c r="A99" s="5">
        <v>45694</v>
      </c>
      <c r="B99" s="6">
        <v>0.0654</v>
      </c>
      <c r="C99" s="7">
        <f t="shared" si="4"/>
        <v>0.0658</v>
      </c>
      <c r="D99" s="7">
        <f t="shared" si="5"/>
        <v>-0.000399999999999998</v>
      </c>
      <c r="H99" s="10">
        <f t="shared" si="6"/>
        <v>-0.000314286702221975</v>
      </c>
      <c r="I99" s="10">
        <f t="shared" si="7"/>
        <v>-8.5713297778023e-5</v>
      </c>
    </row>
    <row r="100" spans="1:9">
      <c r="A100" s="5">
        <v>45695</v>
      </c>
      <c r="B100" s="6">
        <v>0.0635</v>
      </c>
      <c r="C100" s="7">
        <f t="shared" si="4"/>
        <v>0.0654</v>
      </c>
      <c r="D100" s="7">
        <f t="shared" si="5"/>
        <v>-0.0019</v>
      </c>
      <c r="H100" s="10">
        <f t="shared" si="6"/>
        <v>-0.000300769904568522</v>
      </c>
      <c r="I100" s="10">
        <f t="shared" si="7"/>
        <v>-0.00159923009543148</v>
      </c>
    </row>
    <row r="101" spans="1:9">
      <c r="A101" s="5">
        <v>45698</v>
      </c>
      <c r="B101" s="6">
        <v>0.064</v>
      </c>
      <c r="C101" s="7">
        <f t="shared" si="4"/>
        <v>0.0635</v>
      </c>
      <c r="D101" s="7">
        <f t="shared" si="5"/>
        <v>0.0005</v>
      </c>
      <c r="H101" s="10">
        <f t="shared" si="6"/>
        <v>-0.000236565115714624</v>
      </c>
      <c r="I101" s="10">
        <f t="shared" si="7"/>
        <v>0.000736565115714625</v>
      </c>
    </row>
    <row r="102" spans="1:9">
      <c r="A102" s="5">
        <v>45699</v>
      </c>
      <c r="B102" s="6">
        <v>0.064</v>
      </c>
      <c r="C102" s="7">
        <f t="shared" si="4"/>
        <v>0.064</v>
      </c>
      <c r="D102" s="7">
        <f t="shared" si="5"/>
        <v>0</v>
      </c>
      <c r="H102" s="10">
        <f t="shared" si="6"/>
        <v>-0.00025346111278144</v>
      </c>
      <c r="I102" s="10">
        <f t="shared" si="7"/>
        <v>0.00025346111278144</v>
      </c>
    </row>
    <row r="103" spans="1:9">
      <c r="A103" s="5">
        <v>45700</v>
      </c>
      <c r="B103" s="6">
        <v>0.064</v>
      </c>
      <c r="C103" s="7">
        <f t="shared" si="4"/>
        <v>0.064</v>
      </c>
      <c r="D103" s="7">
        <f t="shared" si="5"/>
        <v>0</v>
      </c>
      <c r="H103" s="10">
        <f t="shared" si="6"/>
        <v>-0.00025346111278144</v>
      </c>
      <c r="I103" s="10">
        <f t="shared" si="7"/>
        <v>0.00025346111278144</v>
      </c>
    </row>
    <row r="104" spans="1:9">
      <c r="A104" s="5">
        <v>45701</v>
      </c>
      <c r="B104" s="6">
        <v>0.064</v>
      </c>
      <c r="C104" s="7">
        <f t="shared" si="4"/>
        <v>0.064</v>
      </c>
      <c r="D104" s="7">
        <f t="shared" si="5"/>
        <v>0</v>
      </c>
      <c r="H104" s="10">
        <f t="shared" si="6"/>
        <v>-0.00025346111278144</v>
      </c>
      <c r="I104" s="10">
        <f t="shared" si="7"/>
        <v>0.00025346111278144</v>
      </c>
    </row>
    <row r="105" spans="1:9">
      <c r="A105" s="5">
        <v>45702</v>
      </c>
      <c r="B105" s="6">
        <v>0.0645</v>
      </c>
      <c r="C105" s="7">
        <f t="shared" si="4"/>
        <v>0.064</v>
      </c>
      <c r="D105" s="7">
        <f t="shared" si="5"/>
        <v>0.0005</v>
      </c>
      <c r="H105" s="10">
        <f t="shared" si="6"/>
        <v>-0.00025346111278144</v>
      </c>
      <c r="I105" s="10">
        <f t="shared" si="7"/>
        <v>0.00075346111278144</v>
      </c>
    </row>
    <row r="106" spans="1:9">
      <c r="A106" s="5">
        <v>45705</v>
      </c>
      <c r="B106" s="6">
        <v>0.064</v>
      </c>
      <c r="C106" s="7">
        <f t="shared" si="4"/>
        <v>0.0645</v>
      </c>
      <c r="D106" s="7">
        <f t="shared" si="5"/>
        <v>-0.0005</v>
      </c>
      <c r="H106" s="10">
        <f t="shared" si="6"/>
        <v>-0.000270357109848255</v>
      </c>
      <c r="I106" s="10">
        <f t="shared" si="7"/>
        <v>-0.000229642890151746</v>
      </c>
    </row>
    <row r="107" spans="1:9">
      <c r="A107" s="5">
        <v>45706</v>
      </c>
      <c r="B107" s="6">
        <v>0.064</v>
      </c>
      <c r="C107" s="7">
        <f t="shared" si="4"/>
        <v>0.064</v>
      </c>
      <c r="D107" s="7">
        <f t="shared" si="5"/>
        <v>0</v>
      </c>
      <c r="H107" s="10">
        <f t="shared" si="6"/>
        <v>-0.00025346111278144</v>
      </c>
      <c r="I107" s="10">
        <f t="shared" si="7"/>
        <v>0.00025346111278144</v>
      </c>
    </row>
    <row r="108" spans="1:9">
      <c r="A108" s="5">
        <v>45708</v>
      </c>
      <c r="B108" s="6">
        <v>0.0642</v>
      </c>
      <c r="C108" s="7">
        <f t="shared" si="4"/>
        <v>0.064</v>
      </c>
      <c r="D108" s="7">
        <f t="shared" si="5"/>
        <v>0.000199999999999992</v>
      </c>
      <c r="H108" s="10">
        <f t="shared" si="6"/>
        <v>-0.00025346111278144</v>
      </c>
      <c r="I108" s="10">
        <f t="shared" si="7"/>
        <v>0.000453461112781431</v>
      </c>
    </row>
    <row r="109" spans="1:9">
      <c r="A109" s="5">
        <v>45709</v>
      </c>
      <c r="B109" s="6">
        <v>0.064</v>
      </c>
      <c r="C109" s="7">
        <f t="shared" si="4"/>
        <v>0.0642</v>
      </c>
      <c r="D109" s="7">
        <f t="shared" si="5"/>
        <v>-0.000199999999999992</v>
      </c>
      <c r="H109" s="10">
        <f t="shared" si="6"/>
        <v>-0.000260219511608165</v>
      </c>
      <c r="I109" s="10">
        <f t="shared" si="7"/>
        <v>6.02195116081736e-5</v>
      </c>
    </row>
    <row r="110" spans="1:9">
      <c r="A110" s="5">
        <v>45712</v>
      </c>
      <c r="B110" s="6">
        <v>0.0638</v>
      </c>
      <c r="C110" s="7">
        <f t="shared" si="4"/>
        <v>0.064</v>
      </c>
      <c r="D110" s="7">
        <f t="shared" si="5"/>
        <v>-0.000200000000000006</v>
      </c>
      <c r="H110" s="10">
        <f t="shared" si="6"/>
        <v>-0.00025346111278144</v>
      </c>
      <c r="I110" s="10">
        <f t="shared" si="7"/>
        <v>5.34611127814338e-5</v>
      </c>
    </row>
    <row r="111" spans="1:9">
      <c r="A111" s="5">
        <v>45713</v>
      </c>
      <c r="B111" s="6">
        <v>0.064</v>
      </c>
      <c r="C111" s="7">
        <f t="shared" si="4"/>
        <v>0.0638</v>
      </c>
      <c r="D111" s="7">
        <f t="shared" si="5"/>
        <v>0.000200000000000006</v>
      </c>
      <c r="H111" s="10">
        <f t="shared" si="6"/>
        <v>-0.000246702713954713</v>
      </c>
      <c r="I111" s="10">
        <f t="shared" si="7"/>
        <v>0.000446702713954719</v>
      </c>
    </row>
    <row r="112" spans="1:9">
      <c r="A112" s="5">
        <v>45715</v>
      </c>
      <c r="B112" s="6">
        <v>0.064</v>
      </c>
      <c r="C112" s="7">
        <f t="shared" si="4"/>
        <v>0.064</v>
      </c>
      <c r="D112" s="7">
        <f t="shared" si="5"/>
        <v>0</v>
      </c>
      <c r="H112" s="10">
        <f t="shared" si="6"/>
        <v>-0.00025346111278144</v>
      </c>
      <c r="I112" s="10">
        <f t="shared" si="7"/>
        <v>0.00025346111278144</v>
      </c>
    </row>
    <row r="113" spans="1:9">
      <c r="A113" s="5">
        <v>45716</v>
      </c>
      <c r="B113" s="6">
        <v>0.064</v>
      </c>
      <c r="C113" s="7">
        <f t="shared" si="4"/>
        <v>0.064</v>
      </c>
      <c r="D113" s="7">
        <f t="shared" si="5"/>
        <v>0</v>
      </c>
      <c r="H113" s="10">
        <f t="shared" si="6"/>
        <v>-0.00025346111278144</v>
      </c>
      <c r="I113" s="10">
        <f t="shared" si="7"/>
        <v>0.00025346111278144</v>
      </c>
    </row>
    <row r="114" spans="1:9">
      <c r="A114" s="5">
        <v>45719</v>
      </c>
      <c r="B114" s="6">
        <v>0.064</v>
      </c>
      <c r="C114" s="7">
        <f t="shared" si="4"/>
        <v>0.064</v>
      </c>
      <c r="D114" s="7">
        <f t="shared" si="5"/>
        <v>0</v>
      </c>
      <c r="H114" s="10">
        <f t="shared" si="6"/>
        <v>-0.00025346111278144</v>
      </c>
      <c r="I114" s="10">
        <f t="shared" si="7"/>
        <v>0.00025346111278144</v>
      </c>
    </row>
    <row r="115" spans="1:9">
      <c r="A115" s="5">
        <v>45720</v>
      </c>
      <c r="B115" s="6">
        <v>0.0637</v>
      </c>
      <c r="C115" s="7">
        <f t="shared" si="4"/>
        <v>0.064</v>
      </c>
      <c r="D115" s="7">
        <f t="shared" si="5"/>
        <v>-0.000299999999999995</v>
      </c>
      <c r="H115" s="10">
        <f t="shared" si="6"/>
        <v>-0.00025346111278144</v>
      </c>
      <c r="I115" s="10">
        <f t="shared" si="7"/>
        <v>-4.65388872185552e-5</v>
      </c>
    </row>
    <row r="116" spans="1:9">
      <c r="A116" s="5">
        <v>45721</v>
      </c>
      <c r="B116" s="6">
        <v>0.0629</v>
      </c>
      <c r="C116" s="7">
        <f t="shared" si="4"/>
        <v>0.0637</v>
      </c>
      <c r="D116" s="7">
        <f t="shared" si="5"/>
        <v>-0.000800000000000009</v>
      </c>
      <c r="H116" s="10">
        <f t="shared" si="6"/>
        <v>-0.000243323514541351</v>
      </c>
      <c r="I116" s="10">
        <f t="shared" si="7"/>
        <v>-0.000556676485458658</v>
      </c>
    </row>
    <row r="117" spans="1:9">
      <c r="A117" s="5">
        <v>45722</v>
      </c>
      <c r="B117" s="6">
        <v>0.063</v>
      </c>
      <c r="C117" s="7">
        <f t="shared" si="4"/>
        <v>0.0629</v>
      </c>
      <c r="D117" s="7">
        <f t="shared" si="5"/>
        <v>0.000100000000000003</v>
      </c>
      <c r="H117" s="10">
        <f t="shared" si="6"/>
        <v>-0.000216289919234446</v>
      </c>
      <c r="I117" s="10">
        <f t="shared" si="7"/>
        <v>0.000316289919234449</v>
      </c>
    </row>
    <row r="118" spans="1:9">
      <c r="A118" s="5">
        <v>45723</v>
      </c>
      <c r="B118" s="6">
        <v>0.063</v>
      </c>
      <c r="C118" s="7">
        <f t="shared" si="4"/>
        <v>0.063</v>
      </c>
      <c r="D118" s="7">
        <f t="shared" si="5"/>
        <v>0</v>
      </c>
      <c r="H118" s="10">
        <f t="shared" si="6"/>
        <v>-0.000219669118647809</v>
      </c>
      <c r="I118" s="10">
        <f t="shared" si="7"/>
        <v>0.000219669118647809</v>
      </c>
    </row>
    <row r="119" spans="1:9">
      <c r="A119" s="5">
        <v>45726</v>
      </c>
      <c r="B119" s="6">
        <v>0.063</v>
      </c>
      <c r="C119" s="7">
        <f t="shared" si="4"/>
        <v>0.063</v>
      </c>
      <c r="D119" s="7">
        <f t="shared" si="5"/>
        <v>0</v>
      </c>
      <c r="H119" s="10">
        <f t="shared" si="6"/>
        <v>-0.000219669118647809</v>
      </c>
      <c r="I119" s="10">
        <f t="shared" si="7"/>
        <v>0.000219669118647809</v>
      </c>
    </row>
    <row r="120" spans="1:9">
      <c r="A120" s="5">
        <v>45727</v>
      </c>
      <c r="B120" s="6">
        <v>0.0637</v>
      </c>
      <c r="C120" s="7">
        <f t="shared" si="4"/>
        <v>0.063</v>
      </c>
      <c r="D120" s="7">
        <f t="shared" si="5"/>
        <v>0.000700000000000006</v>
      </c>
      <c r="H120" s="10">
        <f t="shared" si="6"/>
        <v>-0.000219669118647809</v>
      </c>
      <c r="I120" s="10">
        <f t="shared" si="7"/>
        <v>0.000919669118647815</v>
      </c>
    </row>
    <row r="121" spans="1:9">
      <c r="A121" s="5">
        <v>45728</v>
      </c>
      <c r="B121" s="6">
        <v>0.0634</v>
      </c>
      <c r="C121" s="7">
        <f t="shared" si="4"/>
        <v>0.0637</v>
      </c>
      <c r="D121" s="7">
        <f t="shared" si="5"/>
        <v>-0.000300000000000009</v>
      </c>
      <c r="H121" s="10">
        <f t="shared" si="6"/>
        <v>-0.000243323514541351</v>
      </c>
      <c r="I121" s="10">
        <f t="shared" si="7"/>
        <v>-5.66764854586579e-5</v>
      </c>
    </row>
    <row r="122" spans="1:9">
      <c r="A122" s="5">
        <v>45729</v>
      </c>
      <c r="B122" s="6">
        <v>0.064</v>
      </c>
      <c r="C122" s="7">
        <f t="shared" si="4"/>
        <v>0.0634</v>
      </c>
      <c r="D122" s="7">
        <f t="shared" si="5"/>
        <v>0.000600000000000003</v>
      </c>
      <c r="H122" s="10">
        <f t="shared" si="6"/>
        <v>-0.000233185916301261</v>
      </c>
      <c r="I122" s="10">
        <f t="shared" si="7"/>
        <v>0.000833185916301264</v>
      </c>
    </row>
    <row r="123" spans="1:9">
      <c r="A123" s="5">
        <v>45733</v>
      </c>
      <c r="B123" s="6">
        <v>0.0641</v>
      </c>
      <c r="C123" s="7">
        <f t="shared" si="4"/>
        <v>0.064</v>
      </c>
      <c r="D123" s="7">
        <f t="shared" si="5"/>
        <v>0.000100000000000003</v>
      </c>
      <c r="H123" s="10">
        <f t="shared" si="6"/>
        <v>-0.00025346111278144</v>
      </c>
      <c r="I123" s="10">
        <f t="shared" si="7"/>
        <v>0.000353461112781442</v>
      </c>
    </row>
    <row r="124" spans="1:9">
      <c r="A124" s="5">
        <v>45734</v>
      </c>
      <c r="B124" s="6">
        <v>0.064</v>
      </c>
      <c r="C124" s="7">
        <f t="shared" si="4"/>
        <v>0.0641</v>
      </c>
      <c r="D124" s="7">
        <f t="shared" si="5"/>
        <v>-0.000100000000000003</v>
      </c>
      <c r="H124" s="10">
        <f t="shared" si="6"/>
        <v>-0.000256840312194802</v>
      </c>
      <c r="I124" s="10">
        <f t="shared" si="7"/>
        <v>0.0001568403121948</v>
      </c>
    </row>
    <row r="125" spans="1:9">
      <c r="A125" s="5">
        <v>45735</v>
      </c>
      <c r="B125" s="6">
        <v>0.0645</v>
      </c>
      <c r="C125" s="7">
        <f t="shared" si="4"/>
        <v>0.064</v>
      </c>
      <c r="D125" s="7">
        <f t="shared" si="5"/>
        <v>0.0005</v>
      </c>
      <c r="H125" s="10">
        <f t="shared" si="6"/>
        <v>-0.00025346111278144</v>
      </c>
      <c r="I125" s="10">
        <f t="shared" si="7"/>
        <v>0.00075346111278144</v>
      </c>
    </row>
    <row r="126" spans="1:9">
      <c r="A126" s="5">
        <v>45736</v>
      </c>
      <c r="B126" s="6">
        <v>0.0645</v>
      </c>
      <c r="C126" s="7">
        <f t="shared" si="4"/>
        <v>0.0645</v>
      </c>
      <c r="D126" s="7">
        <f t="shared" si="5"/>
        <v>0</v>
      </c>
      <c r="H126" s="10">
        <f t="shared" si="6"/>
        <v>-0.000270357109848255</v>
      </c>
      <c r="I126" s="10">
        <f t="shared" si="7"/>
        <v>0.000270357109848255</v>
      </c>
    </row>
    <row r="127" spans="1:9">
      <c r="A127" s="5">
        <v>45737</v>
      </c>
      <c r="B127" s="6">
        <v>0.0644</v>
      </c>
      <c r="C127" s="7">
        <f t="shared" si="4"/>
        <v>0.0645</v>
      </c>
      <c r="D127" s="7">
        <f t="shared" si="5"/>
        <v>-0.000100000000000003</v>
      </c>
      <c r="H127" s="10">
        <f t="shared" si="6"/>
        <v>-0.000270357109848255</v>
      </c>
      <c r="I127" s="10">
        <f t="shared" si="7"/>
        <v>0.000170357109848252</v>
      </c>
    </row>
    <row r="128" spans="1:9">
      <c r="A128" s="5">
        <v>45740</v>
      </c>
      <c r="B128" s="6">
        <v>0.0641</v>
      </c>
      <c r="C128" s="7">
        <f t="shared" si="4"/>
        <v>0.0644</v>
      </c>
      <c r="D128" s="7">
        <f t="shared" si="5"/>
        <v>-0.000299999999999995</v>
      </c>
      <c r="H128" s="10">
        <f t="shared" si="6"/>
        <v>-0.000266977910434892</v>
      </c>
      <c r="I128" s="10">
        <f t="shared" si="7"/>
        <v>-3.30220895651029e-5</v>
      </c>
    </row>
    <row r="129" spans="1:9">
      <c r="A129" s="5">
        <v>45741</v>
      </c>
      <c r="B129" s="6">
        <v>0.0641</v>
      </c>
      <c r="C129" s="7">
        <f t="shared" si="4"/>
        <v>0.0641</v>
      </c>
      <c r="D129" s="7">
        <f t="shared" si="5"/>
        <v>0</v>
      </c>
      <c r="H129" s="10">
        <f t="shared" si="6"/>
        <v>-0.000256840312194802</v>
      </c>
      <c r="I129" s="10">
        <f t="shared" si="7"/>
        <v>0.000256840312194802</v>
      </c>
    </row>
    <row r="130" spans="1:9">
      <c r="A130" s="5">
        <v>45742</v>
      </c>
      <c r="B130" s="6">
        <v>0.0631</v>
      </c>
      <c r="C130" s="7">
        <f t="shared" si="4"/>
        <v>0.0641</v>
      </c>
      <c r="D130" s="7">
        <f t="shared" si="5"/>
        <v>-0.001</v>
      </c>
      <c r="H130" s="10">
        <f t="shared" si="6"/>
        <v>-0.000256840312194802</v>
      </c>
      <c r="I130" s="10">
        <f t="shared" si="7"/>
        <v>-0.000743159687805198</v>
      </c>
    </row>
    <row r="131" spans="1:9">
      <c r="A131" s="5">
        <v>45743</v>
      </c>
      <c r="B131" s="6">
        <v>0.0624</v>
      </c>
      <c r="C131" s="7">
        <f t="shared" ref="C131:C194" si="8">B130</f>
        <v>0.0631</v>
      </c>
      <c r="D131" s="7">
        <f t="shared" ref="D131:D194" si="9">B131-C131</f>
        <v>-0.000700000000000006</v>
      </c>
      <c r="H131" s="10">
        <f t="shared" ref="H131:H194" si="10">$G$10+$G$9*C131</f>
        <v>-0.000223048318061172</v>
      </c>
      <c r="I131" s="10">
        <f t="shared" ref="I131:I194" si="11">D131-H131</f>
        <v>-0.000476951681938834</v>
      </c>
    </row>
    <row r="132" spans="1:9">
      <c r="A132" s="5">
        <v>45744</v>
      </c>
      <c r="B132" s="6">
        <v>0.072</v>
      </c>
      <c r="C132" s="7">
        <f t="shared" si="8"/>
        <v>0.0624</v>
      </c>
      <c r="D132" s="7">
        <f t="shared" si="9"/>
        <v>0.0096</v>
      </c>
      <c r="H132" s="10">
        <f t="shared" si="10"/>
        <v>-0.00019939392216763</v>
      </c>
      <c r="I132" s="10">
        <f t="shared" si="11"/>
        <v>0.00979939392216763</v>
      </c>
    </row>
    <row r="133" spans="1:9">
      <c r="A133" s="5">
        <v>45749</v>
      </c>
      <c r="B133" s="6">
        <v>0.0633</v>
      </c>
      <c r="C133" s="7">
        <f t="shared" si="8"/>
        <v>0.072</v>
      </c>
      <c r="D133" s="7">
        <f t="shared" si="9"/>
        <v>-0.0087</v>
      </c>
      <c r="H133" s="10">
        <f t="shared" si="10"/>
        <v>-0.000523797065850485</v>
      </c>
      <c r="I133" s="10">
        <f t="shared" si="11"/>
        <v>-0.00817620293414952</v>
      </c>
    </row>
    <row r="134" spans="1:9">
      <c r="A134" s="5">
        <v>45750</v>
      </c>
      <c r="B134" s="6">
        <v>0.061</v>
      </c>
      <c r="C134" s="7">
        <f t="shared" si="8"/>
        <v>0.0633</v>
      </c>
      <c r="D134" s="7">
        <f t="shared" si="9"/>
        <v>-0.0023</v>
      </c>
      <c r="H134" s="10">
        <f t="shared" si="10"/>
        <v>-0.000229806716887898</v>
      </c>
      <c r="I134" s="10">
        <f t="shared" si="11"/>
        <v>-0.0020701932831121</v>
      </c>
    </row>
    <row r="135" spans="1:9">
      <c r="A135" s="5">
        <v>45751</v>
      </c>
      <c r="B135" s="6">
        <v>0.0615</v>
      </c>
      <c r="C135" s="7">
        <f t="shared" si="8"/>
        <v>0.061</v>
      </c>
      <c r="D135" s="7">
        <f t="shared" si="9"/>
        <v>0.0005</v>
      </c>
      <c r="H135" s="10">
        <f t="shared" si="10"/>
        <v>-0.000152085130380547</v>
      </c>
      <c r="I135" s="10">
        <f t="shared" si="11"/>
        <v>0.000652085130380548</v>
      </c>
    </row>
    <row r="136" spans="1:9">
      <c r="A136" s="5">
        <v>45754</v>
      </c>
      <c r="B136" s="6">
        <v>0.0624</v>
      </c>
      <c r="C136" s="7">
        <f t="shared" si="8"/>
        <v>0.0615</v>
      </c>
      <c r="D136" s="7">
        <f t="shared" si="9"/>
        <v>0.000899999999999998</v>
      </c>
      <c r="H136" s="10">
        <f t="shared" si="10"/>
        <v>-0.000168981127447362</v>
      </c>
      <c r="I136" s="10">
        <f t="shared" si="11"/>
        <v>0.00106898112744736</v>
      </c>
    </row>
    <row r="137" spans="1:9">
      <c r="A137" s="5">
        <v>45755</v>
      </c>
      <c r="B137" s="6">
        <v>0.0625</v>
      </c>
      <c r="C137" s="7">
        <f t="shared" si="8"/>
        <v>0.0624</v>
      </c>
      <c r="D137" s="7">
        <f t="shared" si="9"/>
        <v>0.000100000000000003</v>
      </c>
      <c r="H137" s="10">
        <f t="shared" si="10"/>
        <v>-0.00019939392216763</v>
      </c>
      <c r="I137" s="10">
        <f t="shared" si="11"/>
        <v>0.000299393922167633</v>
      </c>
    </row>
    <row r="138" spans="1:9">
      <c r="A138" s="5">
        <v>45756</v>
      </c>
      <c r="B138" s="6">
        <v>0.0602</v>
      </c>
      <c r="C138" s="7">
        <f t="shared" si="8"/>
        <v>0.0625</v>
      </c>
      <c r="D138" s="7">
        <f t="shared" si="9"/>
        <v>-0.0023</v>
      </c>
      <c r="H138" s="10">
        <f t="shared" si="10"/>
        <v>-0.000202773121580993</v>
      </c>
      <c r="I138" s="10">
        <f t="shared" si="11"/>
        <v>-0.00209722687841901</v>
      </c>
    </row>
    <row r="139" spans="1:9">
      <c r="A139" s="5">
        <v>45758</v>
      </c>
      <c r="B139" s="6">
        <v>0.0585</v>
      </c>
      <c r="C139" s="7">
        <f t="shared" si="8"/>
        <v>0.0602</v>
      </c>
      <c r="D139" s="7">
        <f t="shared" si="9"/>
        <v>-0.00169999999999999</v>
      </c>
      <c r="H139" s="10">
        <f t="shared" si="10"/>
        <v>-0.000125051535073643</v>
      </c>
      <c r="I139" s="10">
        <f t="shared" si="11"/>
        <v>-0.00157494846492635</v>
      </c>
    </row>
    <row r="140" spans="1:9">
      <c r="A140" s="5">
        <v>45762</v>
      </c>
      <c r="B140" s="6">
        <v>0.0593</v>
      </c>
      <c r="C140" s="7">
        <f t="shared" si="8"/>
        <v>0.0585</v>
      </c>
      <c r="D140" s="7">
        <f t="shared" si="9"/>
        <v>0.000799999999999995</v>
      </c>
      <c r="H140" s="10">
        <f t="shared" si="10"/>
        <v>-6.76051450464706e-5</v>
      </c>
      <c r="I140" s="10">
        <f t="shared" si="11"/>
        <v>0.000867605145046466</v>
      </c>
    </row>
    <row r="141" spans="1:9">
      <c r="A141" s="5">
        <v>45763</v>
      </c>
      <c r="B141" s="6">
        <v>0.0593</v>
      </c>
      <c r="C141" s="7">
        <f t="shared" si="8"/>
        <v>0.0593</v>
      </c>
      <c r="D141" s="7">
        <f t="shared" si="9"/>
        <v>0</v>
      </c>
      <c r="H141" s="10">
        <f t="shared" si="10"/>
        <v>-9.46387403533751e-5</v>
      </c>
      <c r="I141" s="10">
        <f t="shared" si="11"/>
        <v>9.46387403533751e-5</v>
      </c>
    </row>
    <row r="142" spans="1:9">
      <c r="A142" s="5">
        <v>45764</v>
      </c>
      <c r="B142" s="6">
        <v>0.0593</v>
      </c>
      <c r="C142" s="7">
        <f t="shared" si="8"/>
        <v>0.0593</v>
      </c>
      <c r="D142" s="7">
        <f t="shared" si="9"/>
        <v>0</v>
      </c>
      <c r="H142" s="10">
        <f t="shared" si="10"/>
        <v>-9.46387403533751e-5</v>
      </c>
      <c r="I142" s="10">
        <f t="shared" si="11"/>
        <v>9.46387403533751e-5</v>
      </c>
    </row>
    <row r="143" spans="1:9">
      <c r="A143" s="5">
        <v>45768</v>
      </c>
      <c r="B143" s="6">
        <v>0.0593</v>
      </c>
      <c r="C143" s="7">
        <f t="shared" si="8"/>
        <v>0.0593</v>
      </c>
      <c r="D143" s="7">
        <f t="shared" si="9"/>
        <v>0</v>
      </c>
      <c r="H143" s="10">
        <f t="shared" si="10"/>
        <v>-9.46387403533751e-5</v>
      </c>
      <c r="I143" s="10">
        <f t="shared" si="11"/>
        <v>9.46387403533751e-5</v>
      </c>
    </row>
    <row r="144" spans="1:9">
      <c r="A144" s="5">
        <v>45769</v>
      </c>
      <c r="B144" s="6">
        <v>0.0595</v>
      </c>
      <c r="C144" s="7">
        <f t="shared" si="8"/>
        <v>0.0593</v>
      </c>
      <c r="D144" s="7">
        <f t="shared" si="9"/>
        <v>0.000199999999999999</v>
      </c>
      <c r="H144" s="10">
        <f t="shared" si="10"/>
        <v>-9.46387403533751e-5</v>
      </c>
      <c r="I144" s="10">
        <f t="shared" si="11"/>
        <v>0.000294638740353374</v>
      </c>
    </row>
    <row r="145" spans="1:9">
      <c r="A145" s="5">
        <v>45770</v>
      </c>
      <c r="B145" s="6">
        <v>0.06</v>
      </c>
      <c r="C145" s="7">
        <f t="shared" si="8"/>
        <v>0.0595</v>
      </c>
      <c r="D145" s="7">
        <f t="shared" si="9"/>
        <v>0.0005</v>
      </c>
      <c r="H145" s="10">
        <f t="shared" si="10"/>
        <v>-0.000101397139180101</v>
      </c>
      <c r="I145" s="10">
        <f t="shared" si="11"/>
        <v>0.000601397139180102</v>
      </c>
    </row>
    <row r="146" spans="1:9">
      <c r="A146" s="5">
        <v>45771</v>
      </c>
      <c r="B146" s="6">
        <v>0.0595</v>
      </c>
      <c r="C146" s="7">
        <f t="shared" si="8"/>
        <v>0.06</v>
      </c>
      <c r="D146" s="7">
        <f t="shared" si="9"/>
        <v>-0.0005</v>
      </c>
      <c r="H146" s="10">
        <f t="shared" si="10"/>
        <v>-0.000118293136246917</v>
      </c>
      <c r="I146" s="10">
        <f t="shared" si="11"/>
        <v>-0.000381706863753084</v>
      </c>
    </row>
    <row r="147" spans="1:9">
      <c r="A147" s="5">
        <v>45772</v>
      </c>
      <c r="B147" s="6">
        <v>0.0595</v>
      </c>
      <c r="C147" s="7">
        <f t="shared" si="8"/>
        <v>0.0595</v>
      </c>
      <c r="D147" s="7">
        <f t="shared" si="9"/>
        <v>0</v>
      </c>
      <c r="H147" s="10">
        <f t="shared" si="10"/>
        <v>-0.000101397139180101</v>
      </c>
      <c r="I147" s="10">
        <f t="shared" si="11"/>
        <v>0.000101397139180101</v>
      </c>
    </row>
    <row r="148" spans="1:9">
      <c r="A148" s="5">
        <v>45775</v>
      </c>
      <c r="B148" s="6">
        <v>0.0595</v>
      </c>
      <c r="C148" s="7">
        <f t="shared" si="8"/>
        <v>0.0595</v>
      </c>
      <c r="D148" s="7">
        <f t="shared" si="9"/>
        <v>0</v>
      </c>
      <c r="H148" s="10">
        <f t="shared" si="10"/>
        <v>-0.000101397139180101</v>
      </c>
      <c r="I148" s="10">
        <f t="shared" si="11"/>
        <v>0.000101397139180101</v>
      </c>
    </row>
    <row r="149" spans="1:9">
      <c r="A149" s="5">
        <v>45776</v>
      </c>
      <c r="B149" s="6">
        <v>0.0594</v>
      </c>
      <c r="C149" s="7">
        <f t="shared" si="8"/>
        <v>0.0595</v>
      </c>
      <c r="D149" s="7">
        <f t="shared" si="9"/>
        <v>-9.99999999999959e-5</v>
      </c>
      <c r="H149" s="10">
        <f t="shared" si="10"/>
        <v>-0.000101397139180101</v>
      </c>
      <c r="I149" s="10">
        <f t="shared" si="11"/>
        <v>1.39713918010514e-6</v>
      </c>
    </row>
    <row r="150" spans="1:9">
      <c r="A150" s="5">
        <v>45777</v>
      </c>
      <c r="B150" s="6">
        <v>0.06</v>
      </c>
      <c r="C150" s="7">
        <f t="shared" si="8"/>
        <v>0.0594</v>
      </c>
      <c r="D150" s="7">
        <f t="shared" si="9"/>
        <v>0.000599999999999996</v>
      </c>
      <c r="H150" s="10">
        <f t="shared" si="10"/>
        <v>-9.80179397667381e-5</v>
      </c>
      <c r="I150" s="10">
        <f t="shared" si="11"/>
        <v>0.000698017939766734</v>
      </c>
    </row>
    <row r="151" spans="1:9">
      <c r="A151" s="5">
        <v>45779</v>
      </c>
      <c r="B151" s="6">
        <v>0.0595</v>
      </c>
      <c r="C151" s="7">
        <f t="shared" si="8"/>
        <v>0.06</v>
      </c>
      <c r="D151" s="7">
        <f t="shared" si="9"/>
        <v>-0.0005</v>
      </c>
      <c r="H151" s="10">
        <f t="shared" si="10"/>
        <v>-0.000118293136246917</v>
      </c>
      <c r="I151" s="10">
        <f t="shared" si="11"/>
        <v>-0.000381706863753084</v>
      </c>
    </row>
    <row r="152" spans="1:9">
      <c r="A152" s="5">
        <v>45782</v>
      </c>
      <c r="B152" s="6">
        <v>0.0594</v>
      </c>
      <c r="C152" s="7">
        <f t="shared" si="8"/>
        <v>0.0595</v>
      </c>
      <c r="D152" s="7">
        <f t="shared" si="9"/>
        <v>-9.99999999999959e-5</v>
      </c>
      <c r="H152" s="10">
        <f t="shared" si="10"/>
        <v>-0.000101397139180101</v>
      </c>
      <c r="I152" s="10">
        <f t="shared" si="11"/>
        <v>1.39713918010514e-6</v>
      </c>
    </row>
    <row r="153" spans="1:9">
      <c r="A153" s="5">
        <v>45783</v>
      </c>
      <c r="B153" s="6">
        <v>0.059</v>
      </c>
      <c r="C153" s="7">
        <f t="shared" si="8"/>
        <v>0.0594</v>
      </c>
      <c r="D153" s="7">
        <f t="shared" si="9"/>
        <v>-0.000400000000000005</v>
      </c>
      <c r="H153" s="10">
        <f t="shared" si="10"/>
        <v>-9.80179397667381e-5</v>
      </c>
      <c r="I153" s="10">
        <f t="shared" si="11"/>
        <v>-0.000301982060233266</v>
      </c>
    </row>
    <row r="154" spans="1:9">
      <c r="A154" s="5">
        <v>45784</v>
      </c>
      <c r="B154" s="6">
        <v>0.059</v>
      </c>
      <c r="C154" s="7">
        <f t="shared" si="8"/>
        <v>0.059</v>
      </c>
      <c r="D154" s="7">
        <f t="shared" si="9"/>
        <v>0</v>
      </c>
      <c r="H154" s="10">
        <f t="shared" si="10"/>
        <v>-8.45011421132858e-5</v>
      </c>
      <c r="I154" s="10">
        <f t="shared" si="11"/>
        <v>8.45011421132858e-5</v>
      </c>
    </row>
    <row r="155" spans="1:9">
      <c r="A155" s="5">
        <v>45785</v>
      </c>
      <c r="B155" s="6">
        <v>0.059</v>
      </c>
      <c r="C155" s="7">
        <f t="shared" si="8"/>
        <v>0.059</v>
      </c>
      <c r="D155" s="7">
        <f t="shared" si="9"/>
        <v>0</v>
      </c>
      <c r="H155" s="10">
        <f t="shared" si="10"/>
        <v>-8.45011421132858e-5</v>
      </c>
      <c r="I155" s="10">
        <f t="shared" si="11"/>
        <v>8.45011421132858e-5</v>
      </c>
    </row>
    <row r="156" spans="1:9">
      <c r="A156" s="5">
        <v>45786</v>
      </c>
      <c r="B156" s="6">
        <v>0.059</v>
      </c>
      <c r="C156" s="7">
        <f t="shared" si="8"/>
        <v>0.059</v>
      </c>
      <c r="D156" s="7">
        <f t="shared" si="9"/>
        <v>0</v>
      </c>
      <c r="H156" s="10">
        <f t="shared" si="10"/>
        <v>-8.45011421132858e-5</v>
      </c>
      <c r="I156" s="10">
        <f t="shared" si="11"/>
        <v>8.45011421132858e-5</v>
      </c>
    </row>
    <row r="157" spans="1:9">
      <c r="A157" s="5">
        <v>45790</v>
      </c>
      <c r="B157" s="6">
        <v>0.059</v>
      </c>
      <c r="C157" s="7">
        <f t="shared" si="8"/>
        <v>0.059</v>
      </c>
      <c r="D157" s="7">
        <f t="shared" si="9"/>
        <v>0</v>
      </c>
      <c r="H157" s="10">
        <f t="shared" si="10"/>
        <v>-8.45011421132858e-5</v>
      </c>
      <c r="I157" s="10">
        <f t="shared" si="11"/>
        <v>8.45011421132858e-5</v>
      </c>
    </row>
    <row r="158" spans="1:9">
      <c r="A158" s="5">
        <v>45791</v>
      </c>
      <c r="B158" s="6">
        <v>0.059</v>
      </c>
      <c r="C158" s="7">
        <f t="shared" si="8"/>
        <v>0.059</v>
      </c>
      <c r="D158" s="7">
        <f t="shared" si="9"/>
        <v>0</v>
      </c>
      <c r="H158" s="10">
        <f t="shared" si="10"/>
        <v>-8.45011421132858e-5</v>
      </c>
      <c r="I158" s="10">
        <f t="shared" si="11"/>
        <v>8.45011421132858e-5</v>
      </c>
    </row>
    <row r="159" spans="1:9">
      <c r="A159" s="5">
        <v>45792</v>
      </c>
      <c r="B159" s="6">
        <v>0.059</v>
      </c>
      <c r="C159" s="7">
        <f t="shared" si="8"/>
        <v>0.059</v>
      </c>
      <c r="D159" s="7">
        <f t="shared" si="9"/>
        <v>0</v>
      </c>
      <c r="H159" s="10">
        <f t="shared" si="10"/>
        <v>-8.45011421132858e-5</v>
      </c>
      <c r="I159" s="10">
        <f t="shared" si="11"/>
        <v>8.45011421132858e-5</v>
      </c>
    </row>
    <row r="160" spans="1:9">
      <c r="A160" s="5">
        <v>45793</v>
      </c>
      <c r="B160" s="6">
        <v>0.0589</v>
      </c>
      <c r="C160" s="7">
        <f t="shared" si="8"/>
        <v>0.059</v>
      </c>
      <c r="D160" s="7">
        <f t="shared" si="9"/>
        <v>-9.99999999999959e-5</v>
      </c>
      <c r="H160" s="10">
        <f t="shared" si="10"/>
        <v>-8.45011421132858e-5</v>
      </c>
      <c r="I160" s="10">
        <f t="shared" si="11"/>
        <v>-1.54988578867101e-5</v>
      </c>
    </row>
    <row r="161" spans="1:9">
      <c r="A161" s="5">
        <v>45796</v>
      </c>
      <c r="B161" s="6">
        <v>0.0586</v>
      </c>
      <c r="C161" s="7">
        <f t="shared" si="8"/>
        <v>0.0589</v>
      </c>
      <c r="D161" s="7">
        <f t="shared" si="9"/>
        <v>-0.000300000000000002</v>
      </c>
      <c r="H161" s="10">
        <f t="shared" si="10"/>
        <v>-8.11219426999229e-5</v>
      </c>
      <c r="I161" s="10">
        <f t="shared" si="11"/>
        <v>-0.000218878057300079</v>
      </c>
    </row>
    <row r="162" spans="1:9">
      <c r="A162" s="5">
        <v>45797</v>
      </c>
      <c r="B162" s="6">
        <v>0.0585</v>
      </c>
      <c r="C162" s="7">
        <f t="shared" si="8"/>
        <v>0.0586</v>
      </c>
      <c r="D162" s="7">
        <f t="shared" si="9"/>
        <v>-9.99999999999959e-5</v>
      </c>
      <c r="H162" s="10">
        <f t="shared" si="10"/>
        <v>-7.09843444598336e-5</v>
      </c>
      <c r="I162" s="10">
        <f t="shared" si="11"/>
        <v>-2.90156555401624e-5</v>
      </c>
    </row>
    <row r="163" spans="1:9">
      <c r="A163" s="5">
        <v>45798</v>
      </c>
      <c r="B163" s="6">
        <v>0.0585</v>
      </c>
      <c r="C163" s="7">
        <f t="shared" si="8"/>
        <v>0.0585</v>
      </c>
      <c r="D163" s="7">
        <f t="shared" si="9"/>
        <v>0</v>
      </c>
      <c r="H163" s="10">
        <f t="shared" si="10"/>
        <v>-6.76051450464706e-5</v>
      </c>
      <c r="I163" s="10">
        <f t="shared" si="11"/>
        <v>6.76051450464706e-5</v>
      </c>
    </row>
    <row r="164" spans="1:9">
      <c r="A164" s="5">
        <v>45799</v>
      </c>
      <c r="B164" s="6">
        <v>0.059</v>
      </c>
      <c r="C164" s="7">
        <f t="shared" si="8"/>
        <v>0.0585</v>
      </c>
      <c r="D164" s="7">
        <f t="shared" si="9"/>
        <v>0.000499999999999994</v>
      </c>
      <c r="H164" s="10">
        <f t="shared" si="10"/>
        <v>-6.76051450464706e-5</v>
      </c>
      <c r="I164" s="10">
        <f t="shared" si="11"/>
        <v>0.000567605145046464</v>
      </c>
    </row>
    <row r="165" spans="1:9">
      <c r="A165" s="5">
        <v>45800</v>
      </c>
      <c r="B165" s="6">
        <v>0.059</v>
      </c>
      <c r="C165" s="7">
        <f t="shared" si="8"/>
        <v>0.059</v>
      </c>
      <c r="D165" s="7">
        <f t="shared" si="9"/>
        <v>0</v>
      </c>
      <c r="H165" s="10">
        <f t="shared" si="10"/>
        <v>-8.45011421132858e-5</v>
      </c>
      <c r="I165" s="10">
        <f t="shared" si="11"/>
        <v>8.45011421132858e-5</v>
      </c>
    </row>
    <row r="166" spans="1:9">
      <c r="A166" s="5">
        <v>45803</v>
      </c>
      <c r="B166" s="6">
        <v>0.0585</v>
      </c>
      <c r="C166" s="7">
        <f t="shared" si="8"/>
        <v>0.059</v>
      </c>
      <c r="D166" s="7">
        <f t="shared" si="9"/>
        <v>-0.000499999999999994</v>
      </c>
      <c r="H166" s="10">
        <f t="shared" si="10"/>
        <v>-8.45011421132858e-5</v>
      </c>
      <c r="I166" s="10">
        <f t="shared" si="11"/>
        <v>-0.000415498857886708</v>
      </c>
    </row>
    <row r="167" spans="1:9">
      <c r="A167" s="5">
        <v>45804</v>
      </c>
      <c r="B167" s="6">
        <v>0.0585</v>
      </c>
      <c r="C167" s="7">
        <f t="shared" si="8"/>
        <v>0.0585</v>
      </c>
      <c r="D167" s="7">
        <f t="shared" si="9"/>
        <v>0</v>
      </c>
      <c r="H167" s="10">
        <f t="shared" si="10"/>
        <v>-6.76051450464706e-5</v>
      </c>
      <c r="I167" s="10">
        <f t="shared" si="11"/>
        <v>6.76051450464706e-5</v>
      </c>
    </row>
    <row r="168" spans="1:9">
      <c r="A168" s="5">
        <v>45805</v>
      </c>
      <c r="B168" s="6">
        <v>0.0584</v>
      </c>
      <c r="C168" s="7">
        <f t="shared" si="8"/>
        <v>0.0585</v>
      </c>
      <c r="D168" s="7">
        <f t="shared" si="9"/>
        <v>-0.000100000000000003</v>
      </c>
      <c r="H168" s="10">
        <f t="shared" si="10"/>
        <v>-6.76051450464706e-5</v>
      </c>
      <c r="I168" s="10">
        <f t="shared" si="11"/>
        <v>-3.23948549535323e-5</v>
      </c>
    </row>
    <row r="169" spans="1:9">
      <c r="A169" s="5">
        <v>45806</v>
      </c>
      <c r="B169" s="6">
        <v>0.0582</v>
      </c>
      <c r="C169" s="7">
        <f t="shared" si="8"/>
        <v>0.0584</v>
      </c>
      <c r="D169" s="7">
        <f t="shared" si="9"/>
        <v>-0.000199999999999999</v>
      </c>
      <c r="H169" s="10">
        <f t="shared" si="10"/>
        <v>-6.42259456331076e-5</v>
      </c>
      <c r="I169" s="10">
        <f t="shared" si="11"/>
        <v>-0.000135774054366891</v>
      </c>
    </row>
    <row r="170" spans="1:9">
      <c r="A170" s="5">
        <v>45807</v>
      </c>
      <c r="B170" s="6">
        <v>0.0586</v>
      </c>
      <c r="C170" s="7">
        <f t="shared" si="8"/>
        <v>0.0582</v>
      </c>
      <c r="D170" s="7">
        <f t="shared" si="9"/>
        <v>0.000399999999999998</v>
      </c>
      <c r="H170" s="10">
        <f t="shared" si="10"/>
        <v>-5.74675468063813e-5</v>
      </c>
      <c r="I170" s="10">
        <f t="shared" si="11"/>
        <v>0.000457467546806379</v>
      </c>
    </row>
    <row r="171" spans="1:9">
      <c r="A171" s="5">
        <v>45810</v>
      </c>
      <c r="B171" s="6">
        <v>0.0584</v>
      </c>
      <c r="C171" s="7">
        <f t="shared" si="8"/>
        <v>0.0586</v>
      </c>
      <c r="D171" s="7">
        <f t="shared" si="9"/>
        <v>-0.000199999999999999</v>
      </c>
      <c r="H171" s="10">
        <f t="shared" si="10"/>
        <v>-7.09843444598336e-5</v>
      </c>
      <c r="I171" s="10">
        <f t="shared" si="11"/>
        <v>-0.000129015655540165</v>
      </c>
    </row>
    <row r="172" spans="1:9">
      <c r="A172" s="5">
        <v>45811</v>
      </c>
      <c r="B172" s="6">
        <v>0.0582</v>
      </c>
      <c r="C172" s="7">
        <f t="shared" si="8"/>
        <v>0.0584</v>
      </c>
      <c r="D172" s="7">
        <f t="shared" si="9"/>
        <v>-0.000199999999999999</v>
      </c>
      <c r="H172" s="10">
        <f t="shared" si="10"/>
        <v>-6.42259456331076e-5</v>
      </c>
      <c r="I172" s="10">
        <f t="shared" si="11"/>
        <v>-0.000135774054366891</v>
      </c>
    </row>
    <row r="173" spans="1:9">
      <c r="A173" s="5">
        <v>45812</v>
      </c>
      <c r="B173" s="6">
        <v>0.058</v>
      </c>
      <c r="C173" s="7">
        <f t="shared" si="8"/>
        <v>0.0582</v>
      </c>
      <c r="D173" s="7">
        <f t="shared" si="9"/>
        <v>-0.000199999999999999</v>
      </c>
      <c r="H173" s="10">
        <f t="shared" si="10"/>
        <v>-5.74675468063813e-5</v>
      </c>
      <c r="I173" s="10">
        <f t="shared" si="11"/>
        <v>-0.000142532453193618</v>
      </c>
    </row>
    <row r="174" spans="1:9">
      <c r="A174" s="5">
        <v>45813</v>
      </c>
      <c r="B174" s="6">
        <v>0.058</v>
      </c>
      <c r="C174" s="7">
        <f t="shared" si="8"/>
        <v>0.058</v>
      </c>
      <c r="D174" s="7">
        <f t="shared" si="9"/>
        <v>0</v>
      </c>
      <c r="H174" s="10">
        <f t="shared" si="10"/>
        <v>-5.07091479796553e-5</v>
      </c>
      <c r="I174" s="10">
        <f t="shared" si="11"/>
        <v>5.07091479796553e-5</v>
      </c>
    </row>
    <row r="175" spans="1:9">
      <c r="A175" s="5">
        <v>45814</v>
      </c>
      <c r="B175" s="6">
        <v>0.055</v>
      </c>
      <c r="C175" s="7">
        <f t="shared" si="8"/>
        <v>0.058</v>
      </c>
      <c r="D175" s="7">
        <f t="shared" si="9"/>
        <v>-0.003</v>
      </c>
      <c r="H175" s="10">
        <f t="shared" si="10"/>
        <v>-5.07091479796553e-5</v>
      </c>
      <c r="I175" s="10">
        <f t="shared" si="11"/>
        <v>-0.00294929085202035</v>
      </c>
    </row>
    <row r="176" spans="1:9">
      <c r="A176" s="5">
        <v>45817</v>
      </c>
      <c r="B176" s="6">
        <v>0.0535</v>
      </c>
      <c r="C176" s="7">
        <f t="shared" si="8"/>
        <v>0.055</v>
      </c>
      <c r="D176" s="7">
        <f t="shared" si="9"/>
        <v>-0.0015</v>
      </c>
      <c r="H176" s="10">
        <f t="shared" si="10"/>
        <v>5.0666834421237e-5</v>
      </c>
      <c r="I176" s="10">
        <f t="shared" si="11"/>
        <v>-0.00155066683442124</v>
      </c>
    </row>
    <row r="177" spans="1:9">
      <c r="A177" s="5">
        <v>45818</v>
      </c>
      <c r="B177" s="6">
        <v>0.0535</v>
      </c>
      <c r="C177" s="7">
        <f t="shared" si="8"/>
        <v>0.0535</v>
      </c>
      <c r="D177" s="7">
        <f t="shared" si="9"/>
        <v>0</v>
      </c>
      <c r="H177" s="10">
        <f t="shared" si="10"/>
        <v>0.000101354825621683</v>
      </c>
      <c r="I177" s="10">
        <f t="shared" si="11"/>
        <v>-0.000101354825621683</v>
      </c>
    </row>
    <row r="178" spans="1:9">
      <c r="A178" s="5">
        <v>45819</v>
      </c>
      <c r="B178" s="6">
        <v>0.0535</v>
      </c>
      <c r="C178" s="7">
        <f t="shared" si="8"/>
        <v>0.0535</v>
      </c>
      <c r="D178" s="7">
        <f t="shared" si="9"/>
        <v>0</v>
      </c>
      <c r="H178" s="10">
        <f t="shared" si="10"/>
        <v>0.000101354825621683</v>
      </c>
      <c r="I178" s="10">
        <f t="shared" si="11"/>
        <v>-0.000101354825621683</v>
      </c>
    </row>
    <row r="179" spans="1:9">
      <c r="A179" s="5">
        <v>45820</v>
      </c>
      <c r="B179" s="6">
        <v>0.0534</v>
      </c>
      <c r="C179" s="7">
        <f t="shared" si="8"/>
        <v>0.0535</v>
      </c>
      <c r="D179" s="7">
        <f t="shared" si="9"/>
        <v>-9.99999999999959e-5</v>
      </c>
      <c r="H179" s="10">
        <f t="shared" si="10"/>
        <v>0.000101354825621683</v>
      </c>
      <c r="I179" s="10">
        <f t="shared" si="11"/>
        <v>-0.000201354825621679</v>
      </c>
    </row>
    <row r="180" spans="1:9">
      <c r="A180" s="5">
        <v>45821</v>
      </c>
      <c r="B180" s="6">
        <v>0.0535</v>
      </c>
      <c r="C180" s="7">
        <f t="shared" si="8"/>
        <v>0.0534</v>
      </c>
      <c r="D180" s="7">
        <f t="shared" si="9"/>
        <v>9.99999999999959e-5</v>
      </c>
      <c r="H180" s="10">
        <f t="shared" si="10"/>
        <v>0.000104734025035046</v>
      </c>
      <c r="I180" s="10">
        <f t="shared" si="11"/>
        <v>-4.73402503504993e-6</v>
      </c>
    </row>
    <row r="181" spans="1:9">
      <c r="A181" s="5">
        <v>45824</v>
      </c>
      <c r="B181" s="6">
        <v>0.0535</v>
      </c>
      <c r="C181" s="7">
        <f t="shared" si="8"/>
        <v>0.0535</v>
      </c>
      <c r="D181" s="7">
        <f t="shared" si="9"/>
        <v>0</v>
      </c>
      <c r="H181" s="10">
        <f t="shared" si="10"/>
        <v>0.000101354825621683</v>
      </c>
      <c r="I181" s="10">
        <f t="shared" si="11"/>
        <v>-0.000101354825621683</v>
      </c>
    </row>
    <row r="182" spans="1:9">
      <c r="A182" s="5">
        <v>45825</v>
      </c>
      <c r="B182" s="6">
        <v>0.053</v>
      </c>
      <c r="C182" s="7">
        <f t="shared" si="8"/>
        <v>0.0535</v>
      </c>
      <c r="D182" s="7">
        <f t="shared" si="9"/>
        <v>-0.0005</v>
      </c>
      <c r="H182" s="10">
        <f t="shared" si="10"/>
        <v>0.000101354825621683</v>
      </c>
      <c r="I182" s="10">
        <f t="shared" si="11"/>
        <v>-0.000601354825621683</v>
      </c>
    </row>
    <row r="183" spans="1:9">
      <c r="A183" s="5">
        <v>45826</v>
      </c>
      <c r="B183" s="6">
        <v>0.053</v>
      </c>
      <c r="C183" s="7">
        <f t="shared" si="8"/>
        <v>0.053</v>
      </c>
      <c r="D183" s="7">
        <f t="shared" si="9"/>
        <v>0</v>
      </c>
      <c r="H183" s="10">
        <f t="shared" si="10"/>
        <v>0.000118250822688498</v>
      </c>
      <c r="I183" s="10">
        <f t="shared" si="11"/>
        <v>-0.000118250822688498</v>
      </c>
    </row>
    <row r="184" spans="1:9">
      <c r="A184" s="5">
        <v>45827</v>
      </c>
      <c r="B184" s="6">
        <v>0.053</v>
      </c>
      <c r="C184" s="7">
        <f t="shared" si="8"/>
        <v>0.053</v>
      </c>
      <c r="D184" s="7">
        <f t="shared" si="9"/>
        <v>0</v>
      </c>
      <c r="H184" s="10">
        <f t="shared" si="10"/>
        <v>0.000118250822688498</v>
      </c>
      <c r="I184" s="10">
        <f t="shared" si="11"/>
        <v>-0.000118250822688498</v>
      </c>
    </row>
    <row r="185" spans="1:9">
      <c r="A185" s="5">
        <v>45828</v>
      </c>
      <c r="B185" s="6">
        <v>0.053</v>
      </c>
      <c r="C185" s="7">
        <f t="shared" si="8"/>
        <v>0.053</v>
      </c>
      <c r="D185" s="7">
        <f t="shared" si="9"/>
        <v>0</v>
      </c>
      <c r="H185" s="10">
        <f t="shared" si="10"/>
        <v>0.000118250822688498</v>
      </c>
      <c r="I185" s="10">
        <f t="shared" si="11"/>
        <v>-0.000118250822688498</v>
      </c>
    </row>
    <row r="186" spans="1:9">
      <c r="A186" s="5">
        <v>45831</v>
      </c>
      <c r="B186" s="6">
        <v>0.053</v>
      </c>
      <c r="C186" s="7">
        <f t="shared" si="8"/>
        <v>0.053</v>
      </c>
      <c r="D186" s="7">
        <f t="shared" si="9"/>
        <v>0</v>
      </c>
      <c r="H186" s="10">
        <f t="shared" si="10"/>
        <v>0.000118250822688498</v>
      </c>
      <c r="I186" s="10">
        <f t="shared" si="11"/>
        <v>-0.000118250822688498</v>
      </c>
    </row>
    <row r="187" spans="1:9">
      <c r="A187" s="5">
        <v>45832</v>
      </c>
      <c r="B187" s="6">
        <v>0.053</v>
      </c>
      <c r="C187" s="7">
        <f t="shared" si="8"/>
        <v>0.053</v>
      </c>
      <c r="D187" s="7">
        <f t="shared" si="9"/>
        <v>0</v>
      </c>
      <c r="H187" s="10">
        <f t="shared" si="10"/>
        <v>0.000118250822688498</v>
      </c>
      <c r="I187" s="10">
        <f t="shared" si="11"/>
        <v>-0.000118250822688498</v>
      </c>
    </row>
    <row r="188" spans="1:9">
      <c r="A188" s="5">
        <v>45833</v>
      </c>
      <c r="B188" s="6">
        <v>0.0533</v>
      </c>
      <c r="C188" s="7">
        <f t="shared" si="8"/>
        <v>0.053</v>
      </c>
      <c r="D188" s="7">
        <f t="shared" si="9"/>
        <v>0.000300000000000002</v>
      </c>
      <c r="H188" s="10">
        <f t="shared" si="10"/>
        <v>0.000118250822688498</v>
      </c>
      <c r="I188" s="10">
        <f t="shared" si="11"/>
        <v>0.000181749177311503</v>
      </c>
    </row>
    <row r="189" spans="1:9">
      <c r="A189" s="5">
        <v>45834</v>
      </c>
      <c r="B189" s="6">
        <v>0.053</v>
      </c>
      <c r="C189" s="7">
        <f t="shared" si="8"/>
        <v>0.0533</v>
      </c>
      <c r="D189" s="7">
        <f t="shared" si="9"/>
        <v>-0.000300000000000002</v>
      </c>
      <c r="H189" s="10">
        <f t="shared" si="10"/>
        <v>0.000108113224448409</v>
      </c>
      <c r="I189" s="10">
        <f t="shared" si="11"/>
        <v>-0.000408113224448411</v>
      </c>
    </row>
    <row r="190" spans="1:9">
      <c r="A190" s="5">
        <v>45835</v>
      </c>
      <c r="B190" s="6">
        <v>0.054</v>
      </c>
      <c r="C190" s="7">
        <f t="shared" si="8"/>
        <v>0.053</v>
      </c>
      <c r="D190" s="7">
        <f t="shared" si="9"/>
        <v>0.001</v>
      </c>
      <c r="H190" s="10">
        <f t="shared" si="10"/>
        <v>0.000118250822688498</v>
      </c>
      <c r="I190" s="10">
        <f t="shared" si="11"/>
        <v>0.000881749177311503</v>
      </c>
    </row>
    <row r="191" spans="1:9">
      <c r="A191" s="5">
        <v>45838</v>
      </c>
      <c r="B191" s="6">
        <v>0.0552</v>
      </c>
      <c r="C191" s="7">
        <f t="shared" si="8"/>
        <v>0.054</v>
      </c>
      <c r="D191" s="7">
        <f t="shared" si="9"/>
        <v>0.0012</v>
      </c>
      <c r="H191" s="10">
        <f t="shared" si="10"/>
        <v>8.44588285548677e-5</v>
      </c>
      <c r="I191" s="10">
        <f t="shared" si="11"/>
        <v>0.00111554117144513</v>
      </c>
    </row>
    <row r="192" spans="1:9">
      <c r="A192" s="5">
        <v>45839</v>
      </c>
      <c r="B192" s="6">
        <v>0.0535</v>
      </c>
      <c r="C192" s="7">
        <f t="shared" si="8"/>
        <v>0.0552</v>
      </c>
      <c r="D192" s="7">
        <f t="shared" si="9"/>
        <v>-0.0017</v>
      </c>
      <c r="H192" s="10">
        <f t="shared" si="10"/>
        <v>4.39084355945108e-5</v>
      </c>
      <c r="I192" s="10">
        <f t="shared" si="11"/>
        <v>-0.00174390843559451</v>
      </c>
    </row>
    <row r="193" spans="1:9">
      <c r="A193" s="5">
        <v>45840</v>
      </c>
      <c r="B193" s="6">
        <v>0.053</v>
      </c>
      <c r="C193" s="7">
        <f t="shared" si="8"/>
        <v>0.0535</v>
      </c>
      <c r="D193" s="7">
        <f t="shared" si="9"/>
        <v>-0.0005</v>
      </c>
      <c r="H193" s="10">
        <f t="shared" si="10"/>
        <v>0.000101354825621683</v>
      </c>
      <c r="I193" s="10">
        <f t="shared" si="11"/>
        <v>-0.000601354825621683</v>
      </c>
    </row>
    <row r="194" spans="1:9">
      <c r="A194" s="5">
        <v>45841</v>
      </c>
      <c r="B194" s="6">
        <v>0.053</v>
      </c>
      <c r="C194" s="7">
        <f t="shared" si="8"/>
        <v>0.053</v>
      </c>
      <c r="D194" s="7">
        <f t="shared" si="9"/>
        <v>0</v>
      </c>
      <c r="H194" s="10">
        <f t="shared" si="10"/>
        <v>0.000118250822688498</v>
      </c>
      <c r="I194" s="10">
        <f t="shared" si="11"/>
        <v>-0.000118250822688498</v>
      </c>
    </row>
    <row r="195" spans="1:9">
      <c r="A195" s="5">
        <v>45842</v>
      </c>
      <c r="B195" s="6">
        <v>0.0531</v>
      </c>
      <c r="C195" s="7">
        <f t="shared" ref="C195:C258" si="12">B194</f>
        <v>0.053</v>
      </c>
      <c r="D195" s="7">
        <f t="shared" ref="D195:D258" si="13">B195-C195</f>
        <v>0.000100000000000003</v>
      </c>
      <c r="H195" s="10">
        <f t="shared" ref="H195:H258" si="14">$G$10+$G$9*C195</f>
        <v>0.000118250822688498</v>
      </c>
      <c r="I195" s="10">
        <f t="shared" ref="I195:I258" si="15">D195-H195</f>
        <v>-1.82508226884955e-5</v>
      </c>
    </row>
    <row r="196" spans="1:9">
      <c r="A196" s="5">
        <v>45845</v>
      </c>
      <c r="B196" s="6">
        <v>0.053</v>
      </c>
      <c r="C196" s="7">
        <f t="shared" si="12"/>
        <v>0.0531</v>
      </c>
      <c r="D196" s="7">
        <f t="shared" si="13"/>
        <v>-0.000100000000000003</v>
      </c>
      <c r="H196" s="10">
        <f t="shared" si="14"/>
        <v>0.000114871623275135</v>
      </c>
      <c r="I196" s="10">
        <f t="shared" si="15"/>
        <v>-0.000214871623275138</v>
      </c>
    </row>
    <row r="197" spans="1:9">
      <c r="A197" s="5">
        <v>45846</v>
      </c>
      <c r="B197" s="6">
        <v>0.0529</v>
      </c>
      <c r="C197" s="7">
        <f t="shared" si="12"/>
        <v>0.053</v>
      </c>
      <c r="D197" s="7">
        <f t="shared" si="13"/>
        <v>-9.99999999999959e-5</v>
      </c>
      <c r="H197" s="10">
        <f t="shared" si="14"/>
        <v>0.000118250822688498</v>
      </c>
      <c r="I197" s="10">
        <f t="shared" si="15"/>
        <v>-0.000218250822688494</v>
      </c>
    </row>
    <row r="198" spans="1:9">
      <c r="A198" s="5">
        <v>45847</v>
      </c>
      <c r="B198" s="6">
        <v>0.0536</v>
      </c>
      <c r="C198" s="7">
        <f t="shared" si="12"/>
        <v>0.0529</v>
      </c>
      <c r="D198" s="7">
        <f t="shared" si="13"/>
        <v>0.000699999999999999</v>
      </c>
      <c r="H198" s="10">
        <f t="shared" si="14"/>
        <v>0.000121630022101861</v>
      </c>
      <c r="I198" s="10">
        <f t="shared" si="15"/>
        <v>0.000578369977898138</v>
      </c>
    </row>
    <row r="199" spans="1:9">
      <c r="A199" s="5">
        <v>45848</v>
      </c>
      <c r="B199" s="6">
        <v>0.054</v>
      </c>
      <c r="C199" s="7">
        <f t="shared" si="12"/>
        <v>0.0536</v>
      </c>
      <c r="D199" s="7">
        <f t="shared" si="13"/>
        <v>0.000399999999999998</v>
      </c>
      <c r="H199" s="10">
        <f t="shared" si="14"/>
        <v>9.79756262083197e-5</v>
      </c>
      <c r="I199" s="10">
        <f t="shared" si="15"/>
        <v>0.000302024373791678</v>
      </c>
    </row>
    <row r="200" spans="1:9">
      <c r="A200" s="5">
        <v>45849</v>
      </c>
      <c r="B200" s="6">
        <v>0.0551</v>
      </c>
      <c r="C200" s="7">
        <f t="shared" si="12"/>
        <v>0.054</v>
      </c>
      <c r="D200" s="7">
        <f t="shared" si="13"/>
        <v>0.0011</v>
      </c>
      <c r="H200" s="10">
        <f t="shared" si="14"/>
        <v>8.44588285548677e-5</v>
      </c>
      <c r="I200" s="10">
        <f t="shared" si="15"/>
        <v>0.00101554117144514</v>
      </c>
    </row>
    <row r="201" spans="1:9">
      <c r="A201" s="5">
        <v>45852</v>
      </c>
      <c r="B201" s="6">
        <v>0.0538</v>
      </c>
      <c r="C201" s="7">
        <f t="shared" si="12"/>
        <v>0.0551</v>
      </c>
      <c r="D201" s="7">
        <f t="shared" si="13"/>
        <v>-0.0013</v>
      </c>
      <c r="H201" s="10">
        <f t="shared" si="14"/>
        <v>4.72876350078738e-5</v>
      </c>
      <c r="I201" s="10">
        <f t="shared" si="15"/>
        <v>-0.00134728763500788</v>
      </c>
    </row>
    <row r="202" spans="1:9">
      <c r="A202" s="5">
        <v>45853</v>
      </c>
      <c r="B202" s="6">
        <v>0.0544</v>
      </c>
      <c r="C202" s="7">
        <f t="shared" si="12"/>
        <v>0.0538</v>
      </c>
      <c r="D202" s="7">
        <f t="shared" si="13"/>
        <v>0.000599999999999996</v>
      </c>
      <c r="H202" s="10">
        <f t="shared" si="14"/>
        <v>9.12172273815938e-5</v>
      </c>
      <c r="I202" s="10">
        <f t="shared" si="15"/>
        <v>0.000508782772618403</v>
      </c>
    </row>
    <row r="203" spans="1:9">
      <c r="A203" s="5">
        <v>45854</v>
      </c>
      <c r="B203" s="6">
        <v>0.054</v>
      </c>
      <c r="C203" s="7">
        <f t="shared" si="12"/>
        <v>0.0544</v>
      </c>
      <c r="D203" s="7">
        <f t="shared" si="13"/>
        <v>-0.000399999999999998</v>
      </c>
      <c r="H203" s="10">
        <f t="shared" si="14"/>
        <v>7.09420309014154e-5</v>
      </c>
      <c r="I203" s="10">
        <f t="shared" si="15"/>
        <v>-0.000470942030901413</v>
      </c>
    </row>
    <row r="204" spans="1:9">
      <c r="A204" s="5">
        <v>45855</v>
      </c>
      <c r="B204" s="6">
        <v>0.0539</v>
      </c>
      <c r="C204" s="7">
        <f t="shared" si="12"/>
        <v>0.054</v>
      </c>
      <c r="D204" s="7">
        <f t="shared" si="13"/>
        <v>-9.99999999999959e-5</v>
      </c>
      <c r="H204" s="10">
        <f t="shared" si="14"/>
        <v>8.44588285548677e-5</v>
      </c>
      <c r="I204" s="10">
        <f t="shared" si="15"/>
        <v>-0.000184458828554864</v>
      </c>
    </row>
    <row r="205" spans="1:9">
      <c r="A205" s="5">
        <v>45856</v>
      </c>
      <c r="B205" s="6">
        <v>0.0539</v>
      </c>
      <c r="C205" s="7">
        <f t="shared" si="12"/>
        <v>0.0539</v>
      </c>
      <c r="D205" s="7">
        <f t="shared" si="13"/>
        <v>0</v>
      </c>
      <c r="H205" s="10">
        <f t="shared" si="14"/>
        <v>8.78380279682306e-5</v>
      </c>
      <c r="I205" s="10">
        <f t="shared" si="15"/>
        <v>-8.78380279682306e-5</v>
      </c>
    </row>
    <row r="206" spans="1:9">
      <c r="A206" s="5">
        <v>45859</v>
      </c>
      <c r="B206" s="6">
        <v>0.0552</v>
      </c>
      <c r="C206" s="7">
        <f t="shared" si="12"/>
        <v>0.0539</v>
      </c>
      <c r="D206" s="7">
        <f t="shared" si="13"/>
        <v>0.0013</v>
      </c>
      <c r="H206" s="10">
        <f t="shared" si="14"/>
        <v>8.78380279682306e-5</v>
      </c>
      <c r="I206" s="10">
        <f t="shared" si="15"/>
        <v>0.00121216197203176</v>
      </c>
    </row>
    <row r="207" spans="1:9">
      <c r="A207" s="5">
        <v>45860</v>
      </c>
      <c r="B207" s="6">
        <v>0.0568</v>
      </c>
      <c r="C207" s="7">
        <f t="shared" si="12"/>
        <v>0.0552</v>
      </c>
      <c r="D207" s="7">
        <f t="shared" si="13"/>
        <v>0.0016</v>
      </c>
      <c r="H207" s="10">
        <f t="shared" si="14"/>
        <v>4.39084355945108e-5</v>
      </c>
      <c r="I207" s="10">
        <f t="shared" si="15"/>
        <v>0.00155609156440549</v>
      </c>
    </row>
    <row r="208" spans="1:9">
      <c r="A208" s="5">
        <v>45861</v>
      </c>
      <c r="B208" s="6">
        <v>0.0582</v>
      </c>
      <c r="C208" s="7">
        <f t="shared" si="12"/>
        <v>0.0568</v>
      </c>
      <c r="D208" s="7">
        <f t="shared" si="13"/>
        <v>0.0014</v>
      </c>
      <c r="H208" s="10">
        <f t="shared" si="14"/>
        <v>-1.01587550192985e-5</v>
      </c>
      <c r="I208" s="10">
        <f t="shared" si="15"/>
        <v>0.0014101587550193</v>
      </c>
    </row>
    <row r="209" spans="1:9">
      <c r="A209" s="5">
        <v>45862</v>
      </c>
      <c r="B209" s="6">
        <v>0.0563</v>
      </c>
      <c r="C209" s="7">
        <f t="shared" si="12"/>
        <v>0.0582</v>
      </c>
      <c r="D209" s="7">
        <f t="shared" si="13"/>
        <v>-0.0019</v>
      </c>
      <c r="H209" s="10">
        <f t="shared" si="14"/>
        <v>-5.74675468063813e-5</v>
      </c>
      <c r="I209" s="10">
        <f t="shared" si="15"/>
        <v>-0.00184253245319362</v>
      </c>
    </row>
    <row r="210" spans="1:9">
      <c r="A210" s="5">
        <v>45863</v>
      </c>
      <c r="B210" s="6">
        <v>0.0544</v>
      </c>
      <c r="C210" s="7">
        <f t="shared" si="12"/>
        <v>0.0563</v>
      </c>
      <c r="D210" s="7">
        <f t="shared" si="13"/>
        <v>-0.00190000000000001</v>
      </c>
      <c r="H210" s="10">
        <f t="shared" si="14"/>
        <v>6.73724204751694e-6</v>
      </c>
      <c r="I210" s="10">
        <f t="shared" si="15"/>
        <v>-0.00190673724204752</v>
      </c>
    </row>
    <row r="211" spans="1:9">
      <c r="A211" s="5">
        <v>45866</v>
      </c>
      <c r="B211" s="6">
        <v>0.054</v>
      </c>
      <c r="C211" s="7">
        <f t="shared" si="12"/>
        <v>0.0544</v>
      </c>
      <c r="D211" s="7">
        <f t="shared" si="13"/>
        <v>-0.000399999999999998</v>
      </c>
      <c r="H211" s="10">
        <f t="shared" si="14"/>
        <v>7.09420309014154e-5</v>
      </c>
      <c r="I211" s="10">
        <f t="shared" si="15"/>
        <v>-0.000470942030901413</v>
      </c>
    </row>
    <row r="212" spans="1:9">
      <c r="A212" s="5">
        <v>45867</v>
      </c>
      <c r="B212" s="6">
        <v>0.0545</v>
      </c>
      <c r="C212" s="7">
        <f t="shared" si="12"/>
        <v>0.054</v>
      </c>
      <c r="D212" s="7">
        <f t="shared" si="13"/>
        <v>0.0005</v>
      </c>
      <c r="H212" s="10">
        <f t="shared" si="14"/>
        <v>8.44588285548677e-5</v>
      </c>
      <c r="I212" s="10">
        <f t="shared" si="15"/>
        <v>0.000415541171445133</v>
      </c>
    </row>
    <row r="213" spans="1:9">
      <c r="A213" s="5">
        <v>45868</v>
      </c>
      <c r="B213" s="6">
        <v>0.0542</v>
      </c>
      <c r="C213" s="7">
        <f t="shared" si="12"/>
        <v>0.0545</v>
      </c>
      <c r="D213" s="7">
        <f t="shared" si="13"/>
        <v>-0.000300000000000002</v>
      </c>
      <c r="H213" s="10">
        <f t="shared" si="14"/>
        <v>6.75628314880522e-5</v>
      </c>
      <c r="I213" s="10">
        <f t="shared" si="15"/>
        <v>-0.000367562831488054</v>
      </c>
    </row>
    <row r="214" spans="1:9">
      <c r="A214" s="5">
        <v>45869</v>
      </c>
      <c r="B214" s="6">
        <v>0.0554</v>
      </c>
      <c r="C214" s="7">
        <f t="shared" si="12"/>
        <v>0.0542</v>
      </c>
      <c r="D214" s="7">
        <f t="shared" si="13"/>
        <v>0.0012</v>
      </c>
      <c r="H214" s="10">
        <f t="shared" si="14"/>
        <v>7.77004297281415e-5</v>
      </c>
      <c r="I214" s="10">
        <f t="shared" si="15"/>
        <v>0.00112229957027186</v>
      </c>
    </row>
    <row r="215" spans="1:9">
      <c r="A215" s="5">
        <v>45870</v>
      </c>
      <c r="B215" s="6">
        <v>0.055</v>
      </c>
      <c r="C215" s="7">
        <f t="shared" si="12"/>
        <v>0.0554</v>
      </c>
      <c r="D215" s="7">
        <f t="shared" si="13"/>
        <v>-0.000399999999999998</v>
      </c>
      <c r="H215" s="10">
        <f t="shared" si="14"/>
        <v>3.71500367677847e-5</v>
      </c>
      <c r="I215" s="10">
        <f t="shared" si="15"/>
        <v>-0.000437150036767782</v>
      </c>
    </row>
    <row r="216" spans="1:9">
      <c r="A216" s="5">
        <v>45873</v>
      </c>
      <c r="B216" s="6">
        <v>0.0543</v>
      </c>
      <c r="C216" s="7">
        <f t="shared" si="12"/>
        <v>0.055</v>
      </c>
      <c r="D216" s="7">
        <f t="shared" si="13"/>
        <v>-0.000699999999999999</v>
      </c>
      <c r="H216" s="10">
        <f t="shared" si="14"/>
        <v>5.0666834421237e-5</v>
      </c>
      <c r="I216" s="10">
        <f t="shared" si="15"/>
        <v>-0.000750666834421236</v>
      </c>
    </row>
    <row r="217" spans="1:9">
      <c r="A217" s="5">
        <v>45874</v>
      </c>
      <c r="B217" s="6">
        <v>0.0541</v>
      </c>
      <c r="C217" s="7">
        <f t="shared" si="12"/>
        <v>0.0543</v>
      </c>
      <c r="D217" s="7">
        <f t="shared" si="13"/>
        <v>-0.000199999999999999</v>
      </c>
      <c r="H217" s="10">
        <f t="shared" si="14"/>
        <v>7.43212303147783e-5</v>
      </c>
      <c r="I217" s="10">
        <f t="shared" si="15"/>
        <v>-0.000274321230314777</v>
      </c>
    </row>
    <row r="218" spans="1:9">
      <c r="A218" s="5">
        <v>45875</v>
      </c>
      <c r="B218" s="6">
        <v>0.0537</v>
      </c>
      <c r="C218" s="7">
        <f t="shared" si="12"/>
        <v>0.0541</v>
      </c>
      <c r="D218" s="7">
        <f t="shared" si="13"/>
        <v>-0.000400000000000005</v>
      </c>
      <c r="H218" s="10">
        <f t="shared" si="14"/>
        <v>8.10796291415045e-5</v>
      </c>
      <c r="I218" s="10">
        <f t="shared" si="15"/>
        <v>-0.000481079629141509</v>
      </c>
    </row>
    <row r="219" spans="1:9">
      <c r="A219" s="5">
        <v>45876</v>
      </c>
      <c r="B219" s="6">
        <v>0.0539</v>
      </c>
      <c r="C219" s="7">
        <f t="shared" si="12"/>
        <v>0.0537</v>
      </c>
      <c r="D219" s="7">
        <f t="shared" si="13"/>
        <v>0.000200000000000006</v>
      </c>
      <c r="H219" s="10">
        <f t="shared" si="14"/>
        <v>9.4596426794957e-5</v>
      </c>
      <c r="I219" s="10">
        <f t="shared" si="15"/>
        <v>0.000105403573205049</v>
      </c>
    </row>
    <row r="220" spans="1:9">
      <c r="A220" s="5">
        <v>45877</v>
      </c>
      <c r="B220" s="6">
        <v>0.0563</v>
      </c>
      <c r="C220" s="7">
        <f t="shared" si="12"/>
        <v>0.0539</v>
      </c>
      <c r="D220" s="7">
        <f t="shared" si="13"/>
        <v>0.0024</v>
      </c>
      <c r="H220" s="10">
        <f t="shared" si="14"/>
        <v>8.78380279682306e-5</v>
      </c>
      <c r="I220" s="10">
        <f t="shared" si="15"/>
        <v>0.00231216197203177</v>
      </c>
    </row>
    <row r="221" spans="1:9">
      <c r="A221" s="5">
        <v>45880</v>
      </c>
      <c r="B221" s="6">
        <v>0.0541</v>
      </c>
      <c r="C221" s="7">
        <f t="shared" si="12"/>
        <v>0.0563</v>
      </c>
      <c r="D221" s="7">
        <f t="shared" si="13"/>
        <v>-0.0022</v>
      </c>
      <c r="H221" s="10">
        <f t="shared" si="14"/>
        <v>6.73724204751694e-6</v>
      </c>
      <c r="I221" s="10">
        <f t="shared" si="15"/>
        <v>-0.00220673724204752</v>
      </c>
    </row>
    <row r="222" spans="1:9">
      <c r="A222" s="5">
        <v>45881</v>
      </c>
      <c r="B222" s="6">
        <v>0.055</v>
      </c>
      <c r="C222" s="7">
        <f t="shared" si="12"/>
        <v>0.0541</v>
      </c>
      <c r="D222" s="7">
        <f t="shared" si="13"/>
        <v>0.000899999999999998</v>
      </c>
      <c r="H222" s="10">
        <f t="shared" si="14"/>
        <v>8.10796291415045e-5</v>
      </c>
      <c r="I222" s="10">
        <f t="shared" si="15"/>
        <v>0.000818920370858494</v>
      </c>
    </row>
    <row r="223" spans="1:9">
      <c r="A223" s="5">
        <v>45882</v>
      </c>
      <c r="B223" s="6">
        <v>0.0552</v>
      </c>
      <c r="C223" s="7">
        <f t="shared" si="12"/>
        <v>0.055</v>
      </c>
      <c r="D223" s="7">
        <f t="shared" si="13"/>
        <v>0.000199999999999999</v>
      </c>
      <c r="H223" s="10">
        <f t="shared" si="14"/>
        <v>5.0666834421237e-5</v>
      </c>
      <c r="I223" s="10">
        <f t="shared" si="15"/>
        <v>0.000149333165578762</v>
      </c>
    </row>
    <row r="224" spans="1:9">
      <c r="A224" s="5">
        <v>45883</v>
      </c>
      <c r="B224" s="6">
        <v>0.0553</v>
      </c>
      <c r="C224" s="7">
        <f t="shared" si="12"/>
        <v>0.0552</v>
      </c>
      <c r="D224" s="7">
        <f t="shared" si="13"/>
        <v>0.000100000000000003</v>
      </c>
      <c r="H224" s="10">
        <f t="shared" si="14"/>
        <v>4.39084355945108e-5</v>
      </c>
      <c r="I224" s="10">
        <f t="shared" si="15"/>
        <v>5.6091564405492e-5</v>
      </c>
    </row>
    <row r="225" spans="1:9">
      <c r="A225" s="5">
        <v>45887</v>
      </c>
      <c r="B225" s="6">
        <v>0.0545</v>
      </c>
      <c r="C225" s="7">
        <f t="shared" si="12"/>
        <v>0.0553</v>
      </c>
      <c r="D225" s="7">
        <f t="shared" si="13"/>
        <v>-0.000800000000000002</v>
      </c>
      <c r="H225" s="10">
        <f t="shared" si="14"/>
        <v>4.05292361811476e-5</v>
      </c>
      <c r="I225" s="10">
        <f t="shared" si="15"/>
        <v>-0.00084052923618115</v>
      </c>
    </row>
    <row r="226" spans="1:9">
      <c r="A226" s="5">
        <v>45888</v>
      </c>
      <c r="B226" s="6">
        <v>0.0548</v>
      </c>
      <c r="C226" s="7">
        <f t="shared" si="12"/>
        <v>0.0545</v>
      </c>
      <c r="D226" s="7">
        <f t="shared" si="13"/>
        <v>0.000300000000000002</v>
      </c>
      <c r="H226" s="10">
        <f t="shared" si="14"/>
        <v>6.75628314880522e-5</v>
      </c>
      <c r="I226" s="10">
        <f t="shared" si="15"/>
        <v>0.000232437168511949</v>
      </c>
    </row>
    <row r="227" spans="1:9">
      <c r="A227" s="5">
        <v>45889</v>
      </c>
      <c r="B227" s="6">
        <v>0.0552</v>
      </c>
      <c r="C227" s="7">
        <f t="shared" si="12"/>
        <v>0.0548</v>
      </c>
      <c r="D227" s="7">
        <f t="shared" si="13"/>
        <v>0.000399999999999998</v>
      </c>
      <c r="H227" s="10">
        <f t="shared" si="14"/>
        <v>5.74252332479629e-5</v>
      </c>
      <c r="I227" s="10">
        <f t="shared" si="15"/>
        <v>0.000342574766752035</v>
      </c>
    </row>
    <row r="228" spans="1:9">
      <c r="A228" s="5">
        <v>45890</v>
      </c>
      <c r="B228" s="6">
        <v>0.0555</v>
      </c>
      <c r="C228" s="7">
        <f t="shared" si="12"/>
        <v>0.0552</v>
      </c>
      <c r="D228" s="7">
        <f t="shared" si="13"/>
        <v>0.000300000000000002</v>
      </c>
      <c r="H228" s="10">
        <f t="shared" si="14"/>
        <v>4.39084355945108e-5</v>
      </c>
      <c r="I228" s="10">
        <f t="shared" si="15"/>
        <v>0.000256091564405491</v>
      </c>
    </row>
    <row r="229" spans="1:9">
      <c r="A229" s="5">
        <v>45891</v>
      </c>
      <c r="B229" s="6">
        <v>0.0557</v>
      </c>
      <c r="C229" s="7">
        <f t="shared" si="12"/>
        <v>0.0555</v>
      </c>
      <c r="D229" s="7">
        <f t="shared" si="13"/>
        <v>0.000199999999999999</v>
      </c>
      <c r="H229" s="10">
        <f t="shared" si="14"/>
        <v>3.37708373544215e-5</v>
      </c>
      <c r="I229" s="10">
        <f t="shared" si="15"/>
        <v>0.000166229162645577</v>
      </c>
    </row>
    <row r="230" spans="1:9">
      <c r="A230" s="5">
        <v>45894</v>
      </c>
      <c r="B230" s="6">
        <v>0.0548</v>
      </c>
      <c r="C230" s="7">
        <f t="shared" si="12"/>
        <v>0.0557</v>
      </c>
      <c r="D230" s="7">
        <f t="shared" si="13"/>
        <v>-0.000899999999999998</v>
      </c>
      <c r="H230" s="10">
        <f t="shared" si="14"/>
        <v>2.70124385276954e-5</v>
      </c>
      <c r="I230" s="10">
        <f t="shared" si="15"/>
        <v>-0.000927012438527693</v>
      </c>
    </row>
    <row r="231" spans="1:9">
      <c r="A231" s="5">
        <v>45895</v>
      </c>
      <c r="B231" s="6">
        <v>0.0549</v>
      </c>
      <c r="C231" s="7">
        <f t="shared" si="12"/>
        <v>0.0548</v>
      </c>
      <c r="D231" s="7">
        <f t="shared" si="13"/>
        <v>9.99999999999959e-5</v>
      </c>
      <c r="H231" s="10">
        <f t="shared" si="14"/>
        <v>5.74252332479629e-5</v>
      </c>
      <c r="I231" s="10">
        <f t="shared" si="15"/>
        <v>4.2574766752033e-5</v>
      </c>
    </row>
    <row r="232" spans="1:9">
      <c r="A232" s="5">
        <v>45897</v>
      </c>
      <c r="B232" s="6">
        <v>0.0552</v>
      </c>
      <c r="C232" s="7">
        <f t="shared" si="12"/>
        <v>0.0549</v>
      </c>
      <c r="D232" s="7">
        <f t="shared" si="13"/>
        <v>0.000300000000000002</v>
      </c>
      <c r="H232" s="10">
        <f t="shared" si="14"/>
        <v>5.40460338346001e-5</v>
      </c>
      <c r="I232" s="10">
        <f t="shared" si="15"/>
        <v>0.000245953966165402</v>
      </c>
    </row>
    <row r="233" spans="1:9">
      <c r="A233" s="5">
        <v>45898</v>
      </c>
      <c r="B233" s="6">
        <v>0.0554</v>
      </c>
      <c r="C233" s="7">
        <f t="shared" si="12"/>
        <v>0.0552</v>
      </c>
      <c r="D233" s="7">
        <f t="shared" si="13"/>
        <v>0.000199999999999999</v>
      </c>
      <c r="H233" s="10">
        <f t="shared" si="14"/>
        <v>4.39084355945108e-5</v>
      </c>
      <c r="I233" s="10">
        <f t="shared" si="15"/>
        <v>0.000156091564405488</v>
      </c>
    </row>
    <row r="234" spans="1:9">
      <c r="A234" s="5">
        <v>45901</v>
      </c>
      <c r="B234" s="6">
        <v>0.0549</v>
      </c>
      <c r="C234" s="7">
        <f t="shared" si="12"/>
        <v>0.0554</v>
      </c>
      <c r="D234" s="7">
        <f t="shared" si="13"/>
        <v>-0.0005</v>
      </c>
      <c r="H234" s="10">
        <f t="shared" si="14"/>
        <v>3.71500367677847e-5</v>
      </c>
      <c r="I234" s="10">
        <f t="shared" si="15"/>
        <v>-0.000537150036767785</v>
      </c>
    </row>
    <row r="235" spans="1:9">
      <c r="A235" s="5">
        <v>45902</v>
      </c>
      <c r="B235" s="6">
        <v>0.0544</v>
      </c>
      <c r="C235" s="7">
        <f t="shared" si="12"/>
        <v>0.0549</v>
      </c>
      <c r="D235" s="7">
        <f t="shared" si="13"/>
        <v>-0.0005</v>
      </c>
      <c r="H235" s="10">
        <f t="shared" si="14"/>
        <v>5.40460338346001e-5</v>
      </c>
      <c r="I235" s="10">
        <f t="shared" si="15"/>
        <v>-0.000554046033834601</v>
      </c>
    </row>
    <row r="236" spans="1:9">
      <c r="A236" s="5">
        <v>45903</v>
      </c>
      <c r="B236" s="6">
        <v>0.0539</v>
      </c>
      <c r="C236" s="7">
        <f t="shared" si="12"/>
        <v>0.0544</v>
      </c>
      <c r="D236" s="7">
        <f t="shared" si="13"/>
        <v>-0.000499999999999994</v>
      </c>
      <c r="H236" s="10">
        <f t="shared" si="14"/>
        <v>7.09420309014154e-5</v>
      </c>
      <c r="I236" s="10">
        <f t="shared" si="15"/>
        <v>-0.000570942030901409</v>
      </c>
    </row>
    <row r="237" spans="1:9">
      <c r="A237" s="5">
        <v>45904</v>
      </c>
      <c r="B237" s="6">
        <v>0.054</v>
      </c>
      <c r="C237" s="7">
        <f t="shared" si="12"/>
        <v>0.0539</v>
      </c>
      <c r="D237" s="7">
        <f t="shared" si="13"/>
        <v>9.99999999999959e-5</v>
      </c>
      <c r="H237" s="10">
        <f t="shared" si="14"/>
        <v>8.78380279682306e-5</v>
      </c>
      <c r="I237" s="10">
        <f t="shared" si="15"/>
        <v>1.21619720317653e-5</v>
      </c>
    </row>
    <row r="238" spans="1:9">
      <c r="A238" s="5">
        <v>45905</v>
      </c>
      <c r="B238" s="6">
        <v>0.054</v>
      </c>
      <c r="C238" s="7">
        <f t="shared" si="12"/>
        <v>0.054</v>
      </c>
      <c r="D238" s="7">
        <f t="shared" si="13"/>
        <v>0</v>
      </c>
      <c r="H238" s="10">
        <f t="shared" si="14"/>
        <v>8.44588285548677e-5</v>
      </c>
      <c r="I238" s="10">
        <f t="shared" si="15"/>
        <v>-8.44588285548677e-5</v>
      </c>
    </row>
    <row r="239" spans="1:9">
      <c r="A239" s="5">
        <v>45909</v>
      </c>
      <c r="B239" s="6">
        <v>0.0539</v>
      </c>
      <c r="C239" s="7">
        <f t="shared" si="12"/>
        <v>0.054</v>
      </c>
      <c r="D239" s="7">
        <f t="shared" si="13"/>
        <v>-9.99999999999959e-5</v>
      </c>
      <c r="H239" s="10">
        <f t="shared" si="14"/>
        <v>8.44588285548677e-5</v>
      </c>
      <c r="I239" s="10">
        <f t="shared" si="15"/>
        <v>-0.000184458828554864</v>
      </c>
    </row>
    <row r="240" spans="1:9">
      <c r="A240" s="5">
        <v>45910</v>
      </c>
      <c r="B240" s="6">
        <v>0.0539</v>
      </c>
      <c r="C240" s="7">
        <f t="shared" si="12"/>
        <v>0.0539</v>
      </c>
      <c r="D240" s="7">
        <f t="shared" si="13"/>
        <v>0</v>
      </c>
      <c r="H240" s="10">
        <f t="shared" si="14"/>
        <v>8.78380279682306e-5</v>
      </c>
      <c r="I240" s="10">
        <f t="shared" si="15"/>
        <v>-8.78380279682306e-5</v>
      </c>
    </row>
    <row r="241" spans="1:9">
      <c r="A241" s="5">
        <v>45911</v>
      </c>
      <c r="B241" s="6">
        <v>0.0539</v>
      </c>
      <c r="C241" s="7">
        <f t="shared" si="12"/>
        <v>0.0539</v>
      </c>
      <c r="D241" s="7">
        <f t="shared" si="13"/>
        <v>0</v>
      </c>
      <c r="H241" s="10">
        <f t="shared" si="14"/>
        <v>8.78380279682306e-5</v>
      </c>
      <c r="I241" s="10">
        <f t="shared" si="15"/>
        <v>-8.78380279682306e-5</v>
      </c>
    </row>
    <row r="242" spans="1:9">
      <c r="A242" s="5">
        <v>45912</v>
      </c>
      <c r="B242" s="6">
        <v>0.0547</v>
      </c>
      <c r="C242" s="7">
        <f t="shared" si="12"/>
        <v>0.0539</v>
      </c>
      <c r="D242" s="7">
        <f t="shared" si="13"/>
        <v>0.000799999999999995</v>
      </c>
      <c r="H242" s="10">
        <f t="shared" si="14"/>
        <v>8.78380279682306e-5</v>
      </c>
      <c r="I242" s="10">
        <f t="shared" si="15"/>
        <v>0.000712161972031765</v>
      </c>
    </row>
    <row r="243" spans="1:9">
      <c r="A243" s="5">
        <v>45915</v>
      </c>
      <c r="B243" s="6">
        <v>0.0548</v>
      </c>
      <c r="C243" s="7">
        <f t="shared" si="12"/>
        <v>0.0547</v>
      </c>
      <c r="D243" s="7">
        <f t="shared" si="13"/>
        <v>0.000100000000000003</v>
      </c>
      <c r="H243" s="10">
        <f t="shared" si="14"/>
        <v>6.08044326613261e-5</v>
      </c>
      <c r="I243" s="10">
        <f t="shared" si="15"/>
        <v>3.91955673386768e-5</v>
      </c>
    </row>
    <row r="244" spans="1:9">
      <c r="A244" s="5">
        <v>45916</v>
      </c>
      <c r="B244" s="6">
        <v>0.0548</v>
      </c>
      <c r="C244" s="7">
        <f t="shared" si="12"/>
        <v>0.0548</v>
      </c>
      <c r="D244" s="7">
        <f t="shared" si="13"/>
        <v>0</v>
      </c>
      <c r="H244" s="10">
        <f t="shared" si="14"/>
        <v>5.74252332479629e-5</v>
      </c>
      <c r="I244" s="10">
        <f t="shared" si="15"/>
        <v>-5.74252332479629e-5</v>
      </c>
    </row>
    <row r="245" spans="1:9">
      <c r="A245" s="5">
        <v>45917</v>
      </c>
      <c r="B245" s="6">
        <v>0.0549</v>
      </c>
      <c r="C245" s="7">
        <f t="shared" si="12"/>
        <v>0.0548</v>
      </c>
      <c r="D245" s="7">
        <f t="shared" si="13"/>
        <v>9.99999999999959e-5</v>
      </c>
      <c r="H245" s="10">
        <f t="shared" si="14"/>
        <v>5.74252332479629e-5</v>
      </c>
      <c r="I245" s="10">
        <f t="shared" si="15"/>
        <v>4.2574766752033e-5</v>
      </c>
    </row>
    <row r="246" spans="1:9">
      <c r="A246" s="5">
        <v>45918</v>
      </c>
      <c r="B246" s="6">
        <v>0.056</v>
      </c>
      <c r="C246" s="7">
        <f t="shared" si="12"/>
        <v>0.0549</v>
      </c>
      <c r="D246" s="7">
        <f t="shared" si="13"/>
        <v>0.0011</v>
      </c>
      <c r="H246" s="10">
        <f t="shared" si="14"/>
        <v>5.40460338346001e-5</v>
      </c>
      <c r="I246" s="10">
        <f t="shared" si="15"/>
        <v>0.0010459539661654</v>
      </c>
    </row>
    <row r="247" spans="1:9">
      <c r="A247" s="5">
        <v>45919</v>
      </c>
      <c r="B247" s="6">
        <v>0.0558</v>
      </c>
      <c r="C247" s="7">
        <f t="shared" si="12"/>
        <v>0.056</v>
      </c>
      <c r="D247" s="7">
        <f t="shared" si="13"/>
        <v>-0.000199999999999999</v>
      </c>
      <c r="H247" s="10">
        <f t="shared" si="14"/>
        <v>1.6874840287606e-5</v>
      </c>
      <c r="I247" s="10">
        <f t="shared" si="15"/>
        <v>-0.000216874840287605</v>
      </c>
    </row>
    <row r="248" spans="1:9">
      <c r="A248" s="5">
        <v>45922</v>
      </c>
      <c r="B248" s="6">
        <v>0.0558</v>
      </c>
      <c r="C248" s="7">
        <f t="shared" si="12"/>
        <v>0.0558</v>
      </c>
      <c r="D248" s="7">
        <f t="shared" si="13"/>
        <v>0</v>
      </c>
      <c r="H248" s="10">
        <f t="shared" si="14"/>
        <v>2.36332391143322e-5</v>
      </c>
      <c r="I248" s="10">
        <f t="shared" si="15"/>
        <v>-2.36332391143322e-5</v>
      </c>
    </row>
    <row r="249" spans="1:9">
      <c r="A249" s="5">
        <v>45923</v>
      </c>
      <c r="B249" s="6">
        <v>0.0568</v>
      </c>
      <c r="C249" s="7">
        <f t="shared" si="12"/>
        <v>0.0558</v>
      </c>
      <c r="D249" s="7">
        <f t="shared" si="13"/>
        <v>0.001</v>
      </c>
      <c r="H249" s="10">
        <f t="shared" si="14"/>
        <v>2.36332391143322e-5</v>
      </c>
      <c r="I249" s="10">
        <f t="shared" si="15"/>
        <v>0.000976366760885669</v>
      </c>
    </row>
    <row r="250" spans="1:9">
      <c r="A250" s="5">
        <v>45924</v>
      </c>
      <c r="B250" s="6">
        <v>0.0558</v>
      </c>
      <c r="C250" s="7">
        <f t="shared" si="12"/>
        <v>0.0568</v>
      </c>
      <c r="D250" s="7">
        <f t="shared" si="13"/>
        <v>-0.001</v>
      </c>
      <c r="H250" s="10">
        <f t="shared" si="14"/>
        <v>-1.01587550192985e-5</v>
      </c>
      <c r="I250" s="10">
        <f t="shared" si="15"/>
        <v>-0.000989841244980702</v>
      </c>
    </row>
    <row r="251" spans="1:9">
      <c r="A251" s="5">
        <v>45925</v>
      </c>
      <c r="B251" s="6">
        <v>0.0563</v>
      </c>
      <c r="C251" s="7">
        <f t="shared" si="12"/>
        <v>0.0558</v>
      </c>
      <c r="D251" s="7">
        <f t="shared" si="13"/>
        <v>0.0005</v>
      </c>
      <c r="H251" s="10">
        <f t="shared" si="14"/>
        <v>2.36332391143322e-5</v>
      </c>
      <c r="I251" s="10">
        <f t="shared" si="15"/>
        <v>0.000476366760885668</v>
      </c>
    </row>
    <row r="252" spans="1:9">
      <c r="A252" s="5">
        <v>45926</v>
      </c>
      <c r="B252" s="6">
        <v>0.0564</v>
      </c>
      <c r="C252" s="7">
        <f t="shared" si="12"/>
        <v>0.0563</v>
      </c>
      <c r="D252" s="7">
        <f t="shared" si="13"/>
        <v>9.99999999999959e-5</v>
      </c>
      <c r="H252" s="10">
        <f t="shared" si="14"/>
        <v>6.73724204751694e-6</v>
      </c>
      <c r="I252" s="10">
        <f t="shared" si="15"/>
        <v>9.3262757952479e-5</v>
      </c>
    </row>
    <row r="253" spans="1:9">
      <c r="A253" s="5">
        <v>45929</v>
      </c>
      <c r="B253" s="6">
        <v>0.0559</v>
      </c>
      <c r="C253" s="7">
        <f t="shared" si="12"/>
        <v>0.0564</v>
      </c>
      <c r="D253" s="7">
        <f t="shared" si="13"/>
        <v>-0.0005</v>
      </c>
      <c r="H253" s="10">
        <f t="shared" si="14"/>
        <v>3.35804263415398e-6</v>
      </c>
      <c r="I253" s="10">
        <f t="shared" si="15"/>
        <v>-0.000503358042634154</v>
      </c>
    </row>
    <row r="254" spans="1:9">
      <c r="A254" s="5">
        <v>45930</v>
      </c>
      <c r="B254" s="6">
        <v>0.0574</v>
      </c>
      <c r="C254" s="7">
        <f t="shared" si="12"/>
        <v>0.0559</v>
      </c>
      <c r="D254" s="7">
        <f t="shared" si="13"/>
        <v>0.0015</v>
      </c>
      <c r="H254" s="10">
        <f t="shared" si="14"/>
        <v>2.02540397009692e-5</v>
      </c>
      <c r="I254" s="10">
        <f t="shared" si="15"/>
        <v>0.00147974596029903</v>
      </c>
    </row>
    <row r="255" spans="1:9">
      <c r="A255" s="5">
        <v>45931</v>
      </c>
      <c r="B255" s="6">
        <v>0.054</v>
      </c>
      <c r="C255" s="7">
        <f t="shared" si="12"/>
        <v>0.0574</v>
      </c>
      <c r="D255" s="7">
        <f t="shared" si="13"/>
        <v>-0.0034</v>
      </c>
      <c r="H255" s="10">
        <f t="shared" si="14"/>
        <v>-3.04339514994767e-5</v>
      </c>
      <c r="I255" s="10">
        <f t="shared" si="15"/>
        <v>-0.00336956604850052</v>
      </c>
    </row>
    <row r="256" spans="1:9">
      <c r="A256" s="5">
        <v>45933</v>
      </c>
      <c r="B256" s="6">
        <v>0.054</v>
      </c>
      <c r="C256" s="7">
        <f t="shared" si="12"/>
        <v>0.054</v>
      </c>
      <c r="D256" s="7">
        <f t="shared" si="13"/>
        <v>0</v>
      </c>
      <c r="H256" s="10">
        <f t="shared" si="14"/>
        <v>8.44588285548677e-5</v>
      </c>
      <c r="I256" s="10">
        <f t="shared" si="15"/>
        <v>-8.44588285548677e-5</v>
      </c>
    </row>
    <row r="257" spans="1:9">
      <c r="A257" s="5">
        <v>45936</v>
      </c>
      <c r="B257" s="6">
        <v>0.0539</v>
      </c>
      <c r="C257" s="7">
        <f t="shared" si="12"/>
        <v>0.054</v>
      </c>
      <c r="D257" s="7">
        <f t="shared" si="13"/>
        <v>-9.99999999999959e-5</v>
      </c>
      <c r="H257" s="10">
        <f t="shared" si="14"/>
        <v>8.44588285548677e-5</v>
      </c>
      <c r="I257" s="10">
        <f t="shared" si="15"/>
        <v>-0.000184458828554864</v>
      </c>
    </row>
    <row r="258" spans="1:9">
      <c r="A258" s="5">
        <v>45937</v>
      </c>
      <c r="B258" s="6">
        <v>0.0539</v>
      </c>
      <c r="C258" s="7">
        <f t="shared" si="12"/>
        <v>0.0539</v>
      </c>
      <c r="D258" s="7">
        <f t="shared" si="13"/>
        <v>0</v>
      </c>
      <c r="H258" s="10">
        <f t="shared" si="14"/>
        <v>8.78380279682306e-5</v>
      </c>
      <c r="I258" s="10">
        <f t="shared" si="15"/>
        <v>-8.78380279682306e-5</v>
      </c>
    </row>
    <row r="259" spans="1:9">
      <c r="A259" s="5">
        <v>45938</v>
      </c>
      <c r="B259" s="6">
        <v>0.0539</v>
      </c>
      <c r="C259" s="7">
        <f t="shared" ref="C259:C322" si="16">B258</f>
        <v>0.0539</v>
      </c>
      <c r="D259" s="7">
        <f t="shared" ref="D259:D322" si="17">B259-C259</f>
        <v>0</v>
      </c>
      <c r="H259" s="10">
        <f t="shared" ref="H259:H322" si="18">$G$10+$G$9*C259</f>
        <v>8.78380279682306e-5</v>
      </c>
      <c r="I259" s="10">
        <f t="shared" ref="I259:I322" si="19">D259-H259</f>
        <v>-8.78380279682306e-5</v>
      </c>
    </row>
    <row r="260" spans="1:9">
      <c r="A260" s="5">
        <v>45939</v>
      </c>
      <c r="B260" s="6">
        <v>0.055</v>
      </c>
      <c r="C260" s="7">
        <f t="shared" si="16"/>
        <v>0.0539</v>
      </c>
      <c r="D260" s="7">
        <f t="shared" si="17"/>
        <v>0.0011</v>
      </c>
      <c r="H260" s="10">
        <f t="shared" si="18"/>
        <v>8.78380279682306e-5</v>
      </c>
      <c r="I260" s="10">
        <f t="shared" si="19"/>
        <v>0.00101216197203177</v>
      </c>
    </row>
    <row r="261" spans="1:9">
      <c r="A261" s="5">
        <v>45940</v>
      </c>
      <c r="B261" s="6">
        <v>0.0566</v>
      </c>
      <c r="C261" s="7">
        <f t="shared" si="16"/>
        <v>0.055</v>
      </c>
      <c r="D261" s="7">
        <f t="shared" si="17"/>
        <v>0.0016</v>
      </c>
      <c r="H261" s="10">
        <f t="shared" si="18"/>
        <v>5.0666834421237e-5</v>
      </c>
      <c r="I261" s="10">
        <f t="shared" si="19"/>
        <v>0.00154933316557876</v>
      </c>
    </row>
    <row r="262" spans="1:9">
      <c r="A262" s="5">
        <v>45943</v>
      </c>
      <c r="B262" s="6">
        <v>0.0554</v>
      </c>
      <c r="C262" s="7">
        <f t="shared" si="16"/>
        <v>0.0566</v>
      </c>
      <c r="D262" s="7">
        <f t="shared" si="17"/>
        <v>-0.0012</v>
      </c>
      <c r="H262" s="10">
        <f t="shared" si="18"/>
        <v>-3.40035619257216e-6</v>
      </c>
      <c r="I262" s="10">
        <f t="shared" si="19"/>
        <v>-0.00119659964380743</v>
      </c>
    </row>
    <row r="263" spans="1:9">
      <c r="A263" s="5">
        <v>45944</v>
      </c>
      <c r="B263" s="6">
        <v>0.0548</v>
      </c>
      <c r="C263" s="7">
        <f t="shared" si="16"/>
        <v>0.0554</v>
      </c>
      <c r="D263" s="7">
        <f t="shared" si="17"/>
        <v>-0.000599999999999996</v>
      </c>
      <c r="H263" s="10">
        <f t="shared" si="18"/>
        <v>3.71500367677847e-5</v>
      </c>
      <c r="I263" s="10">
        <f t="shared" si="19"/>
        <v>-0.000637150036767781</v>
      </c>
    </row>
    <row r="264" spans="1:9">
      <c r="A264" s="5">
        <v>45945</v>
      </c>
      <c r="B264" s="6">
        <v>0.0541</v>
      </c>
      <c r="C264" s="7">
        <f t="shared" si="16"/>
        <v>0.0548</v>
      </c>
      <c r="D264" s="7">
        <f t="shared" si="17"/>
        <v>-0.000699999999999999</v>
      </c>
      <c r="H264" s="10">
        <f t="shared" si="18"/>
        <v>5.74252332479629e-5</v>
      </c>
      <c r="I264" s="10">
        <f t="shared" si="19"/>
        <v>-0.000757425233247962</v>
      </c>
    </row>
    <row r="265" spans="1:9">
      <c r="A265" s="5">
        <v>45946</v>
      </c>
      <c r="B265" s="6">
        <v>0.0545</v>
      </c>
      <c r="C265" s="7">
        <f t="shared" si="16"/>
        <v>0.0541</v>
      </c>
      <c r="D265" s="7">
        <f t="shared" si="17"/>
        <v>0.000399999999999998</v>
      </c>
      <c r="H265" s="10">
        <f t="shared" si="18"/>
        <v>8.10796291415045e-5</v>
      </c>
      <c r="I265" s="10">
        <f t="shared" si="19"/>
        <v>0.000318920370858493</v>
      </c>
    </row>
    <row r="266" spans="1:9">
      <c r="A266" s="5">
        <v>45947</v>
      </c>
      <c r="B266" s="6">
        <v>0.0555</v>
      </c>
      <c r="C266" s="7">
        <f t="shared" si="16"/>
        <v>0.0545</v>
      </c>
      <c r="D266" s="7">
        <f t="shared" si="17"/>
        <v>0.001</v>
      </c>
      <c r="H266" s="10">
        <f t="shared" si="18"/>
        <v>6.75628314880522e-5</v>
      </c>
      <c r="I266" s="10">
        <f t="shared" si="19"/>
        <v>0.000932437168511949</v>
      </c>
    </row>
    <row r="267" spans="1:9">
      <c r="A267" s="5">
        <v>45950</v>
      </c>
      <c r="B267" s="6">
        <v>0.0564</v>
      </c>
      <c r="C267" s="7">
        <f t="shared" si="16"/>
        <v>0.0555</v>
      </c>
      <c r="D267" s="7">
        <f t="shared" si="17"/>
        <v>0.000899999999999998</v>
      </c>
      <c r="H267" s="10">
        <f t="shared" si="18"/>
        <v>3.37708373544215e-5</v>
      </c>
      <c r="I267" s="10">
        <f t="shared" si="19"/>
        <v>0.000866229162645577</v>
      </c>
    </row>
    <row r="268" spans="1:9">
      <c r="A268" s="5">
        <v>45953</v>
      </c>
      <c r="B268" s="6">
        <v>0.0549</v>
      </c>
      <c r="C268" s="7">
        <f t="shared" si="16"/>
        <v>0.0564</v>
      </c>
      <c r="D268" s="7">
        <f t="shared" si="17"/>
        <v>-0.0015</v>
      </c>
      <c r="H268" s="10">
        <f t="shared" si="18"/>
        <v>3.35804263415398e-6</v>
      </c>
      <c r="I268" s="10">
        <f t="shared" si="19"/>
        <v>-0.00150335804263416</v>
      </c>
    </row>
    <row r="269" spans="1:9">
      <c r="A269" s="5">
        <v>45954</v>
      </c>
      <c r="B269" s="6">
        <v>0.0552</v>
      </c>
      <c r="C269" s="7">
        <f t="shared" si="16"/>
        <v>0.0549</v>
      </c>
      <c r="D269" s="7">
        <f t="shared" si="17"/>
        <v>0.000300000000000002</v>
      </c>
      <c r="H269" s="10">
        <f t="shared" si="18"/>
        <v>5.40460338346001e-5</v>
      </c>
      <c r="I269" s="10">
        <f t="shared" si="19"/>
        <v>0.000245953966165402</v>
      </c>
    </row>
    <row r="270" spans="1:9">
      <c r="A270" s="5">
        <v>45957</v>
      </c>
      <c r="B270" s="6">
        <v>0.0565</v>
      </c>
      <c r="C270" s="7">
        <f t="shared" si="16"/>
        <v>0.0552</v>
      </c>
      <c r="D270" s="7">
        <f t="shared" si="17"/>
        <v>0.0013</v>
      </c>
      <c r="H270" s="10">
        <f t="shared" si="18"/>
        <v>4.39084355945108e-5</v>
      </c>
      <c r="I270" s="10">
        <f t="shared" si="19"/>
        <v>0.00125609156440549</v>
      </c>
    </row>
    <row r="271" spans="1:9">
      <c r="A271" s="5">
        <v>45958</v>
      </c>
      <c r="B271" s="6">
        <v>0.0564</v>
      </c>
      <c r="C271" s="7">
        <f t="shared" si="16"/>
        <v>0.0565</v>
      </c>
      <c r="D271" s="7">
        <f t="shared" si="17"/>
        <v>-0.000100000000000003</v>
      </c>
      <c r="H271" s="10">
        <f t="shared" si="18"/>
        <v>-2.1156779209195e-8</v>
      </c>
      <c r="I271" s="10">
        <f t="shared" si="19"/>
        <v>-9.99788432207937e-5</v>
      </c>
    </row>
    <row r="272" spans="1:9">
      <c r="A272" s="5">
        <v>45959</v>
      </c>
      <c r="B272" s="6">
        <v>0.0564</v>
      </c>
      <c r="C272" s="7">
        <f t="shared" si="16"/>
        <v>0.0564</v>
      </c>
      <c r="D272" s="7">
        <f t="shared" si="17"/>
        <v>0</v>
      </c>
      <c r="H272" s="10">
        <f t="shared" si="18"/>
        <v>3.35804263415398e-6</v>
      </c>
      <c r="I272" s="10">
        <f t="shared" si="19"/>
        <v>-3.35804263415398e-6</v>
      </c>
    </row>
    <row r="273" spans="1:9">
      <c r="A273" s="5">
        <v>45960</v>
      </c>
      <c r="B273" s="6">
        <v>0.0564</v>
      </c>
      <c r="C273" s="7">
        <f t="shared" si="16"/>
        <v>0.0564</v>
      </c>
      <c r="D273" s="7">
        <f t="shared" si="17"/>
        <v>0</v>
      </c>
      <c r="H273" s="10">
        <f t="shared" si="18"/>
        <v>3.35804263415398e-6</v>
      </c>
      <c r="I273" s="10">
        <f t="shared" si="19"/>
        <v>-3.35804263415398e-6</v>
      </c>
    </row>
    <row r="274" spans="1:9">
      <c r="A274" s="5">
        <v>45961</v>
      </c>
      <c r="B274" s="6">
        <v>0.0569</v>
      </c>
      <c r="C274" s="7">
        <f t="shared" si="16"/>
        <v>0.0564</v>
      </c>
      <c r="D274" s="7">
        <f t="shared" si="17"/>
        <v>0.0005</v>
      </c>
      <c r="H274" s="10">
        <f t="shared" si="18"/>
        <v>3.35804263415398e-6</v>
      </c>
      <c r="I274" s="10">
        <f t="shared" si="19"/>
        <v>0.000496641957365846</v>
      </c>
    </row>
    <row r="275" spans="1:9">
      <c r="A275" s="5">
        <v>45964</v>
      </c>
      <c r="B275" s="6">
        <v>0.0549</v>
      </c>
      <c r="C275" s="7">
        <f t="shared" si="16"/>
        <v>0.0569</v>
      </c>
      <c r="D275" s="7">
        <f t="shared" si="17"/>
        <v>-0.002</v>
      </c>
      <c r="H275" s="10">
        <f t="shared" si="18"/>
        <v>-1.35379544326615e-5</v>
      </c>
      <c r="I275" s="10">
        <f t="shared" si="19"/>
        <v>-0.00198646204556734</v>
      </c>
    </row>
    <row r="276" spans="1:9">
      <c r="A276" s="5">
        <v>45965</v>
      </c>
      <c r="B276" s="6">
        <v>0.0549</v>
      </c>
      <c r="C276" s="7">
        <f t="shared" si="16"/>
        <v>0.0549</v>
      </c>
      <c r="D276" s="7">
        <f t="shared" si="17"/>
        <v>0</v>
      </c>
      <c r="H276" s="10">
        <f t="shared" si="18"/>
        <v>5.40460338346001e-5</v>
      </c>
      <c r="I276" s="10">
        <f t="shared" si="19"/>
        <v>-5.40460338346001e-5</v>
      </c>
    </row>
    <row r="277" spans="1:9">
      <c r="A277" s="5">
        <v>45967</v>
      </c>
      <c r="B277" s="6">
        <v>0.0546</v>
      </c>
      <c r="C277" s="7">
        <f t="shared" si="16"/>
        <v>0.0549</v>
      </c>
      <c r="D277" s="7">
        <f t="shared" si="17"/>
        <v>-0.000299999999999995</v>
      </c>
      <c r="H277" s="10">
        <f t="shared" si="18"/>
        <v>5.40460338346001e-5</v>
      </c>
      <c r="I277" s="10">
        <f t="shared" si="19"/>
        <v>-0.000354046033834595</v>
      </c>
    </row>
    <row r="278" spans="1:9">
      <c r="A278" s="5">
        <v>45968</v>
      </c>
      <c r="B278" s="6">
        <v>0.0544</v>
      </c>
      <c r="C278" s="7">
        <f t="shared" si="16"/>
        <v>0.0546</v>
      </c>
      <c r="D278" s="7">
        <f t="shared" si="17"/>
        <v>-0.000200000000000006</v>
      </c>
      <c r="H278" s="10">
        <f t="shared" si="18"/>
        <v>6.4183632074689e-5</v>
      </c>
      <c r="I278" s="10">
        <f t="shared" si="19"/>
        <v>-0.000264183632074695</v>
      </c>
    </row>
    <row r="279" spans="1:9">
      <c r="A279" s="5">
        <v>45971</v>
      </c>
      <c r="B279" s="6">
        <v>0.0539</v>
      </c>
      <c r="C279" s="7">
        <f t="shared" si="16"/>
        <v>0.0544</v>
      </c>
      <c r="D279" s="7">
        <f t="shared" si="17"/>
        <v>-0.000499999999999994</v>
      </c>
      <c r="H279" s="10">
        <f t="shared" si="18"/>
        <v>7.09420309014154e-5</v>
      </c>
      <c r="I279" s="10">
        <f t="shared" si="19"/>
        <v>-0.000570942030901409</v>
      </c>
    </row>
    <row r="280" spans="1:9">
      <c r="A280" s="5">
        <v>45972</v>
      </c>
      <c r="B280" s="6">
        <v>0.0539</v>
      </c>
      <c r="C280" s="7">
        <f t="shared" si="16"/>
        <v>0.0539</v>
      </c>
      <c r="D280" s="7">
        <f t="shared" si="17"/>
        <v>0</v>
      </c>
      <c r="H280" s="10">
        <f t="shared" si="18"/>
        <v>8.78380279682306e-5</v>
      </c>
      <c r="I280" s="10">
        <f t="shared" si="19"/>
        <v>-8.78380279682306e-5</v>
      </c>
    </row>
    <row r="281" spans="1:9">
      <c r="A281" s="5">
        <v>45973</v>
      </c>
      <c r="B281" s="6">
        <v>0.0539</v>
      </c>
      <c r="C281" s="7">
        <f t="shared" si="16"/>
        <v>0.0539</v>
      </c>
      <c r="D281" s="7">
        <f t="shared" si="17"/>
        <v>0</v>
      </c>
      <c r="H281" s="10">
        <f t="shared" si="18"/>
        <v>8.78380279682306e-5</v>
      </c>
      <c r="I281" s="10">
        <f t="shared" si="19"/>
        <v>-8.78380279682306e-5</v>
      </c>
    </row>
    <row r="282" spans="1:9">
      <c r="A282" s="5">
        <v>45974</v>
      </c>
      <c r="B282" s="6">
        <v>0.0539</v>
      </c>
      <c r="C282" s="7">
        <f t="shared" si="16"/>
        <v>0.0539</v>
      </c>
      <c r="D282" s="7">
        <f t="shared" si="17"/>
        <v>0</v>
      </c>
      <c r="H282" s="10">
        <f t="shared" si="18"/>
        <v>8.78380279682306e-5</v>
      </c>
      <c r="I282" s="10">
        <f t="shared" si="19"/>
        <v>-8.78380279682306e-5</v>
      </c>
    </row>
    <row r="283" spans="1:9">
      <c r="A283" s="5">
        <v>45975</v>
      </c>
      <c r="B283" s="6">
        <v>0.0558</v>
      </c>
      <c r="C283" s="7">
        <f t="shared" si="16"/>
        <v>0.0539</v>
      </c>
      <c r="D283" s="7">
        <f t="shared" si="17"/>
        <v>0.0019</v>
      </c>
      <c r="H283" s="10">
        <f t="shared" si="18"/>
        <v>8.78380279682306e-5</v>
      </c>
      <c r="I283" s="10">
        <f t="shared" si="19"/>
        <v>0.00181216197203177</v>
      </c>
    </row>
    <row r="284" spans="1:9">
      <c r="A284" s="5">
        <v>45978</v>
      </c>
      <c r="B284" s="6">
        <v>0.0543</v>
      </c>
      <c r="C284" s="7">
        <f t="shared" si="16"/>
        <v>0.0558</v>
      </c>
      <c r="D284" s="7">
        <f t="shared" si="17"/>
        <v>-0.0015</v>
      </c>
      <c r="H284" s="10">
        <f t="shared" si="18"/>
        <v>2.36332391143322e-5</v>
      </c>
      <c r="I284" s="10">
        <f t="shared" si="19"/>
        <v>-0.00152363323911433</v>
      </c>
    </row>
    <row r="285" spans="1:9">
      <c r="A285" s="5">
        <v>45979</v>
      </c>
      <c r="B285" s="6">
        <v>0.0544</v>
      </c>
      <c r="C285" s="7">
        <f t="shared" si="16"/>
        <v>0.0543</v>
      </c>
      <c r="D285" s="7">
        <f t="shared" si="17"/>
        <v>9.99999999999959e-5</v>
      </c>
      <c r="H285" s="10">
        <f t="shared" si="18"/>
        <v>7.43212303147783e-5</v>
      </c>
      <c r="I285" s="10">
        <f t="shared" si="19"/>
        <v>2.56787696852176e-5</v>
      </c>
    </row>
    <row r="286" spans="1:9">
      <c r="A286" s="5">
        <v>45980</v>
      </c>
      <c r="B286" s="6">
        <v>0.0544</v>
      </c>
      <c r="C286" s="7">
        <f t="shared" si="16"/>
        <v>0.0544</v>
      </c>
      <c r="D286" s="7">
        <f t="shared" si="17"/>
        <v>0</v>
      </c>
      <c r="H286" s="10">
        <f t="shared" si="18"/>
        <v>7.09420309014154e-5</v>
      </c>
      <c r="I286" s="10">
        <f t="shared" si="19"/>
        <v>-7.09420309014154e-5</v>
      </c>
    </row>
    <row r="287" spans="1:9">
      <c r="A287" s="5">
        <v>45981</v>
      </c>
      <c r="B287" s="6">
        <v>0.0548</v>
      </c>
      <c r="C287" s="7">
        <f t="shared" si="16"/>
        <v>0.0544</v>
      </c>
      <c r="D287" s="7">
        <f t="shared" si="17"/>
        <v>0.000400000000000005</v>
      </c>
      <c r="H287" s="10">
        <f t="shared" si="18"/>
        <v>7.09420309014154e-5</v>
      </c>
      <c r="I287" s="10">
        <f t="shared" si="19"/>
        <v>0.000329057969098589</v>
      </c>
    </row>
    <row r="288" spans="1:9">
      <c r="A288" s="5">
        <v>45982</v>
      </c>
      <c r="B288" s="6">
        <v>0.0559</v>
      </c>
      <c r="C288" s="7">
        <f t="shared" si="16"/>
        <v>0.0548</v>
      </c>
      <c r="D288" s="7">
        <f t="shared" si="17"/>
        <v>0.0011</v>
      </c>
      <c r="H288" s="10">
        <f t="shared" si="18"/>
        <v>5.74252332479629e-5</v>
      </c>
      <c r="I288" s="10">
        <f t="shared" si="19"/>
        <v>0.00104257476675203</v>
      </c>
    </row>
    <row r="289" spans="1:9">
      <c r="A289" s="5">
        <v>45985</v>
      </c>
      <c r="B289" s="6">
        <v>0.0559</v>
      </c>
      <c r="C289" s="7">
        <f t="shared" si="16"/>
        <v>0.0559</v>
      </c>
      <c r="D289" s="7">
        <f t="shared" si="17"/>
        <v>0</v>
      </c>
      <c r="H289" s="10">
        <f t="shared" si="18"/>
        <v>2.02540397009692e-5</v>
      </c>
      <c r="I289" s="10">
        <f t="shared" si="19"/>
        <v>-2.02540397009692e-5</v>
      </c>
    </row>
    <row r="290" spans="1:9">
      <c r="A290" s="5">
        <v>45986</v>
      </c>
      <c r="B290" s="6">
        <v>0.0549</v>
      </c>
      <c r="C290" s="7">
        <f t="shared" si="16"/>
        <v>0.0559</v>
      </c>
      <c r="D290" s="7">
        <f t="shared" si="17"/>
        <v>-0.001</v>
      </c>
      <c r="H290" s="10">
        <f t="shared" si="18"/>
        <v>2.02540397009692e-5</v>
      </c>
      <c r="I290" s="10">
        <f t="shared" si="19"/>
        <v>-0.00102025403970097</v>
      </c>
    </row>
    <row r="291" spans="1:9">
      <c r="A291" s="5">
        <v>45987</v>
      </c>
      <c r="B291" s="6">
        <v>0.0544</v>
      </c>
      <c r="C291" s="7">
        <f t="shared" si="16"/>
        <v>0.0549</v>
      </c>
      <c r="D291" s="7">
        <f t="shared" si="17"/>
        <v>-0.0005</v>
      </c>
      <c r="H291" s="10">
        <f t="shared" si="18"/>
        <v>5.40460338346001e-5</v>
      </c>
      <c r="I291" s="10">
        <f t="shared" si="19"/>
        <v>-0.000554046033834601</v>
      </c>
    </row>
    <row r="292" spans="1:9">
      <c r="A292" s="5">
        <v>45988</v>
      </c>
      <c r="B292" s="6">
        <v>0.0544</v>
      </c>
      <c r="C292" s="7">
        <f t="shared" si="16"/>
        <v>0.0544</v>
      </c>
      <c r="D292" s="7">
        <f t="shared" si="17"/>
        <v>0</v>
      </c>
      <c r="H292" s="10">
        <f t="shared" si="18"/>
        <v>7.09420309014154e-5</v>
      </c>
      <c r="I292" s="10">
        <f t="shared" si="19"/>
        <v>-7.09420309014154e-5</v>
      </c>
    </row>
    <row r="293" spans="1:9">
      <c r="A293" s="5">
        <v>45989</v>
      </c>
      <c r="B293" s="6">
        <v>0.0559</v>
      </c>
      <c r="C293" s="7">
        <f t="shared" si="16"/>
        <v>0.0544</v>
      </c>
      <c r="D293" s="7">
        <f t="shared" si="17"/>
        <v>0.0015</v>
      </c>
      <c r="H293" s="10">
        <f t="shared" si="18"/>
        <v>7.09420309014154e-5</v>
      </c>
      <c r="I293" s="10">
        <f t="shared" si="19"/>
        <v>0.00142905796909859</v>
      </c>
    </row>
    <row r="294" spans="1:9">
      <c r="A294" s="5">
        <v>45992</v>
      </c>
      <c r="B294" s="6">
        <v>0.0549</v>
      </c>
      <c r="C294" s="7">
        <f t="shared" si="16"/>
        <v>0.0559</v>
      </c>
      <c r="D294" s="7">
        <f t="shared" si="17"/>
        <v>-0.001</v>
      </c>
      <c r="H294" s="10">
        <f t="shared" si="18"/>
        <v>2.02540397009692e-5</v>
      </c>
      <c r="I294" s="10">
        <f t="shared" si="19"/>
        <v>-0.00102025403970097</v>
      </c>
    </row>
    <row r="295" spans="1:9">
      <c r="A295" s="5">
        <v>45993</v>
      </c>
      <c r="B295" s="6">
        <v>0.0539</v>
      </c>
      <c r="C295" s="7">
        <f t="shared" si="16"/>
        <v>0.0549</v>
      </c>
      <c r="D295" s="7">
        <f t="shared" si="17"/>
        <v>-0.000999999999999994</v>
      </c>
      <c r="H295" s="10">
        <f t="shared" si="18"/>
        <v>5.40460338346001e-5</v>
      </c>
      <c r="I295" s="10">
        <f t="shared" si="19"/>
        <v>-0.00105404603383459</v>
      </c>
    </row>
    <row r="296" spans="1:9">
      <c r="A296" s="5">
        <v>45994</v>
      </c>
      <c r="B296" s="6">
        <v>0.0539</v>
      </c>
      <c r="C296" s="7">
        <f t="shared" si="16"/>
        <v>0.0539</v>
      </c>
      <c r="D296" s="7">
        <f t="shared" si="17"/>
        <v>0</v>
      </c>
      <c r="H296" s="10">
        <f t="shared" si="18"/>
        <v>8.78380279682306e-5</v>
      </c>
      <c r="I296" s="10">
        <f t="shared" si="19"/>
        <v>-8.78380279682306e-5</v>
      </c>
    </row>
    <row r="297" spans="1:9">
      <c r="A297" s="5">
        <v>45995</v>
      </c>
      <c r="B297" s="6">
        <v>0.0547</v>
      </c>
      <c r="C297" s="7">
        <f t="shared" si="16"/>
        <v>0.0539</v>
      </c>
      <c r="D297" s="7">
        <f t="shared" si="17"/>
        <v>0.000799999999999995</v>
      </c>
      <c r="H297" s="10">
        <f t="shared" si="18"/>
        <v>8.78380279682306e-5</v>
      </c>
      <c r="I297" s="10">
        <f t="shared" si="19"/>
        <v>0.000712161972031765</v>
      </c>
    </row>
    <row r="298" spans="1:9">
      <c r="A298" s="5">
        <v>45996</v>
      </c>
      <c r="B298" s="6">
        <v>0.0536</v>
      </c>
      <c r="C298" s="7">
        <f t="shared" si="16"/>
        <v>0.0547</v>
      </c>
      <c r="D298" s="7">
        <f t="shared" si="17"/>
        <v>-0.0011</v>
      </c>
      <c r="H298" s="10">
        <f t="shared" si="18"/>
        <v>6.08044326613261e-5</v>
      </c>
      <c r="I298" s="10">
        <f t="shared" si="19"/>
        <v>-0.00116080443266132</v>
      </c>
    </row>
    <row r="299" spans="1:9">
      <c r="A299" s="5">
        <v>45999</v>
      </c>
      <c r="B299" s="6">
        <v>0.0524</v>
      </c>
      <c r="C299" s="7">
        <f t="shared" si="16"/>
        <v>0.0536</v>
      </c>
      <c r="D299" s="7">
        <f t="shared" si="17"/>
        <v>-0.0012</v>
      </c>
      <c r="H299" s="10">
        <f t="shared" si="18"/>
        <v>9.79756262083197e-5</v>
      </c>
      <c r="I299" s="10">
        <f t="shared" si="19"/>
        <v>-0.00129797562620832</v>
      </c>
    </row>
    <row r="300" spans="1:9">
      <c r="A300" s="5">
        <v>46000</v>
      </c>
      <c r="B300" s="6">
        <v>0.0524</v>
      </c>
      <c r="C300" s="7">
        <f t="shared" si="16"/>
        <v>0.0524</v>
      </c>
      <c r="D300" s="7">
        <f t="shared" si="17"/>
        <v>0</v>
      </c>
      <c r="H300" s="10">
        <f t="shared" si="18"/>
        <v>0.000138526019168677</v>
      </c>
      <c r="I300" s="10">
        <f t="shared" si="19"/>
        <v>-0.000138526019168677</v>
      </c>
    </row>
    <row r="301" spans="1:9">
      <c r="A301" s="5">
        <v>46001</v>
      </c>
      <c r="B301" s="6">
        <v>0.0524</v>
      </c>
      <c r="C301" s="7">
        <f t="shared" si="16"/>
        <v>0.0524</v>
      </c>
      <c r="D301" s="7">
        <f t="shared" si="17"/>
        <v>0</v>
      </c>
      <c r="H301" s="10">
        <f t="shared" si="18"/>
        <v>0.000138526019168677</v>
      </c>
      <c r="I301" s="10">
        <f t="shared" si="19"/>
        <v>-0.000138526019168677</v>
      </c>
    </row>
    <row r="302" spans="1:9">
      <c r="A302" s="5">
        <v>46002</v>
      </c>
      <c r="B302" s="6">
        <v>0.0524</v>
      </c>
      <c r="C302" s="7">
        <f t="shared" si="16"/>
        <v>0.0524</v>
      </c>
      <c r="D302" s="7">
        <f t="shared" si="17"/>
        <v>0</v>
      </c>
      <c r="H302" s="10">
        <f t="shared" si="18"/>
        <v>0.000138526019168677</v>
      </c>
      <c r="I302" s="10">
        <f t="shared" si="19"/>
        <v>-0.000138526019168677</v>
      </c>
    </row>
    <row r="303" spans="1:9">
      <c r="A303" s="5">
        <v>46003</v>
      </c>
      <c r="B303" s="6">
        <v>0.0524</v>
      </c>
      <c r="C303" s="7">
        <f t="shared" si="16"/>
        <v>0.0524</v>
      </c>
      <c r="D303" s="7">
        <f t="shared" si="17"/>
        <v>0</v>
      </c>
      <c r="H303" s="10">
        <f t="shared" si="18"/>
        <v>0.000138526019168677</v>
      </c>
      <c r="I303" s="10">
        <f t="shared" si="19"/>
        <v>-0.000138526019168677</v>
      </c>
    </row>
    <row r="304" spans="1:9">
      <c r="A304" s="5">
        <v>46006</v>
      </c>
      <c r="B304" s="6">
        <v>0.053</v>
      </c>
      <c r="C304" s="7">
        <f t="shared" si="16"/>
        <v>0.0524</v>
      </c>
      <c r="D304" s="7">
        <f t="shared" si="17"/>
        <v>0.000599999999999996</v>
      </c>
      <c r="H304" s="10">
        <f t="shared" si="18"/>
        <v>0.000138526019168677</v>
      </c>
      <c r="I304" s="10">
        <f t="shared" si="19"/>
        <v>0.00046147398083132</v>
      </c>
    </row>
    <row r="305" spans="1:9">
      <c r="A305" s="5">
        <v>46007</v>
      </c>
      <c r="B305" s="6">
        <v>0.0546</v>
      </c>
      <c r="C305" s="7">
        <f t="shared" si="16"/>
        <v>0.053</v>
      </c>
      <c r="D305" s="7">
        <f t="shared" si="17"/>
        <v>0.0016</v>
      </c>
      <c r="H305" s="10">
        <f t="shared" si="18"/>
        <v>0.000118250822688498</v>
      </c>
      <c r="I305" s="10">
        <f t="shared" si="19"/>
        <v>0.00148174917731151</v>
      </c>
    </row>
    <row r="306" spans="1:9">
      <c r="A306" s="5">
        <v>46008</v>
      </c>
      <c r="B306" s="6">
        <v>0.0555</v>
      </c>
      <c r="C306" s="7">
        <f t="shared" si="16"/>
        <v>0.0546</v>
      </c>
      <c r="D306" s="7">
        <f t="shared" si="17"/>
        <v>0.000899999999999998</v>
      </c>
      <c r="H306" s="10">
        <f t="shared" si="18"/>
        <v>6.4183632074689e-5</v>
      </c>
      <c r="I306" s="10">
        <f t="shared" si="19"/>
        <v>0.000835816367925309</v>
      </c>
    </row>
    <row r="307" spans="1:9">
      <c r="A307" s="5">
        <v>46009</v>
      </c>
      <c r="B307" s="6">
        <v>0.0544</v>
      </c>
      <c r="C307" s="7">
        <f t="shared" si="16"/>
        <v>0.0555</v>
      </c>
      <c r="D307" s="7">
        <f t="shared" si="17"/>
        <v>-0.0011</v>
      </c>
      <c r="H307" s="10">
        <f t="shared" si="18"/>
        <v>3.37708373544215e-5</v>
      </c>
      <c r="I307" s="10">
        <f t="shared" si="19"/>
        <v>-0.00113377083735443</v>
      </c>
    </row>
    <row r="308" spans="1:9">
      <c r="A308" s="5">
        <v>46010</v>
      </c>
      <c r="B308" s="6">
        <v>0.0543</v>
      </c>
      <c r="C308" s="7">
        <f t="shared" si="16"/>
        <v>0.0544</v>
      </c>
      <c r="D308" s="7">
        <f t="shared" si="17"/>
        <v>-9.99999999999959e-5</v>
      </c>
      <c r="H308" s="10">
        <f t="shared" si="18"/>
        <v>7.09420309014154e-5</v>
      </c>
      <c r="I308" s="10">
        <f t="shared" si="19"/>
        <v>-0.000170942030901411</v>
      </c>
    </row>
    <row r="309" spans="1:9">
      <c r="A309" s="5">
        <v>46013</v>
      </c>
      <c r="B309" s="6">
        <v>0.0544</v>
      </c>
      <c r="C309" s="7">
        <f t="shared" si="16"/>
        <v>0.0543</v>
      </c>
      <c r="D309" s="7">
        <f t="shared" si="17"/>
        <v>9.99999999999959e-5</v>
      </c>
      <c r="H309" s="10">
        <f t="shared" si="18"/>
        <v>7.43212303147783e-5</v>
      </c>
      <c r="I309" s="10">
        <f t="shared" si="19"/>
        <v>2.56787696852176e-5</v>
      </c>
    </row>
    <row r="310" spans="1:9">
      <c r="A310" s="5">
        <v>46014</v>
      </c>
      <c r="B310" s="6">
        <v>0.055</v>
      </c>
      <c r="C310" s="7">
        <f t="shared" si="16"/>
        <v>0.0544</v>
      </c>
      <c r="D310" s="7">
        <f t="shared" si="17"/>
        <v>0.000600000000000003</v>
      </c>
      <c r="H310" s="10">
        <f t="shared" si="18"/>
        <v>7.09420309014154e-5</v>
      </c>
      <c r="I310" s="10">
        <f t="shared" si="19"/>
        <v>0.000529057969098588</v>
      </c>
    </row>
    <row r="311" spans="1:9">
      <c r="A311" s="5">
        <v>46015</v>
      </c>
      <c r="B311" s="6">
        <v>0.0553</v>
      </c>
      <c r="C311" s="7">
        <f t="shared" si="16"/>
        <v>0.055</v>
      </c>
      <c r="D311" s="7">
        <f t="shared" si="17"/>
        <v>0.000300000000000002</v>
      </c>
      <c r="H311" s="10">
        <f t="shared" si="18"/>
        <v>5.0666834421237e-5</v>
      </c>
      <c r="I311" s="10">
        <f t="shared" si="19"/>
        <v>0.000249333165578765</v>
      </c>
    </row>
    <row r="312" spans="1:9">
      <c r="A312" s="5">
        <v>46017</v>
      </c>
      <c r="B312" s="6">
        <v>0.0554</v>
      </c>
      <c r="C312" s="7">
        <f t="shared" si="16"/>
        <v>0.0553</v>
      </c>
      <c r="D312" s="7">
        <f t="shared" si="17"/>
        <v>9.99999999999959e-5</v>
      </c>
      <c r="H312" s="10">
        <f t="shared" si="18"/>
        <v>4.05292361811476e-5</v>
      </c>
      <c r="I312" s="10">
        <f t="shared" si="19"/>
        <v>5.94707638188483e-5</v>
      </c>
    </row>
    <row r="313" spans="1:9">
      <c r="A313" s="5">
        <v>46020</v>
      </c>
      <c r="B313" s="6">
        <v>0.0557</v>
      </c>
      <c r="C313" s="7">
        <f t="shared" si="16"/>
        <v>0.0554</v>
      </c>
      <c r="D313" s="7">
        <f t="shared" si="17"/>
        <v>0.000300000000000002</v>
      </c>
      <c r="H313" s="10">
        <f t="shared" si="18"/>
        <v>3.71500367677847e-5</v>
      </c>
      <c r="I313" s="10">
        <f t="shared" si="19"/>
        <v>0.000262849963232217</v>
      </c>
    </row>
    <row r="314" spans="1:9">
      <c r="A314" s="5">
        <v>46021</v>
      </c>
      <c r="B314" s="6">
        <v>0.0557</v>
      </c>
      <c r="C314" s="7">
        <f t="shared" si="16"/>
        <v>0.0557</v>
      </c>
      <c r="D314" s="7">
        <f t="shared" si="17"/>
        <v>0</v>
      </c>
      <c r="H314" s="10">
        <f t="shared" si="18"/>
        <v>2.70124385276954e-5</v>
      </c>
      <c r="I314" s="10">
        <f t="shared" si="19"/>
        <v>-2.70124385276954e-5</v>
      </c>
    </row>
    <row r="315" spans="1:9">
      <c r="A315" s="5">
        <v>46022</v>
      </c>
      <c r="B315" s="6">
        <v>0.0567</v>
      </c>
      <c r="C315" s="7">
        <f t="shared" si="16"/>
        <v>0.0557</v>
      </c>
      <c r="D315" s="7">
        <f t="shared" si="17"/>
        <v>0.001</v>
      </c>
      <c r="H315" s="10">
        <f t="shared" si="18"/>
        <v>2.70124385276954e-5</v>
      </c>
      <c r="I315" s="10">
        <f t="shared" si="19"/>
        <v>0.000972987561472306</v>
      </c>
    </row>
    <row r="316" spans="1:9">
      <c r="A316" s="5">
        <v>46023</v>
      </c>
      <c r="B316" s="6">
        <v>0.0544</v>
      </c>
      <c r="C316" s="7">
        <f t="shared" si="16"/>
        <v>0.0567</v>
      </c>
      <c r="D316" s="7">
        <f t="shared" si="17"/>
        <v>-0.0023</v>
      </c>
      <c r="H316" s="10">
        <f t="shared" si="18"/>
        <v>-6.77955560593533e-6</v>
      </c>
      <c r="I316" s="10">
        <f t="shared" si="19"/>
        <v>-0.00229322044439407</v>
      </c>
    </row>
    <row r="317" spans="1:9">
      <c r="A317" s="5">
        <v>46024</v>
      </c>
      <c r="B317" s="6">
        <v>0.0544</v>
      </c>
      <c r="C317" s="7">
        <f t="shared" si="16"/>
        <v>0.0544</v>
      </c>
      <c r="D317" s="7">
        <f t="shared" si="17"/>
        <v>0</v>
      </c>
      <c r="H317" s="10">
        <f t="shared" si="18"/>
        <v>7.09420309014154e-5</v>
      </c>
      <c r="I317" s="10">
        <f t="shared" si="19"/>
        <v>-7.09420309014154e-5</v>
      </c>
    </row>
    <row r="318" spans="1:9">
      <c r="A318" s="5">
        <v>46027</v>
      </c>
      <c r="B318" s="6">
        <v>0.0549</v>
      </c>
      <c r="C318" s="7">
        <f t="shared" si="16"/>
        <v>0.0544</v>
      </c>
      <c r="D318" s="7">
        <f t="shared" si="17"/>
        <v>0.0005</v>
      </c>
      <c r="H318" s="10">
        <f t="shared" si="18"/>
        <v>7.09420309014154e-5</v>
      </c>
      <c r="I318" s="10">
        <f t="shared" si="19"/>
        <v>0.000429057969098585</v>
      </c>
    </row>
    <row r="319" spans="1:9">
      <c r="A319" s="5">
        <v>46028</v>
      </c>
      <c r="B319" s="6">
        <v>0.0539</v>
      </c>
      <c r="C319" s="7">
        <f t="shared" si="16"/>
        <v>0.0549</v>
      </c>
      <c r="D319" s="7">
        <f t="shared" si="17"/>
        <v>-0.000999999999999994</v>
      </c>
      <c r="H319" s="10">
        <f t="shared" si="18"/>
        <v>5.40460338346001e-5</v>
      </c>
      <c r="I319" s="10">
        <f t="shared" si="19"/>
        <v>-0.00105404603383459</v>
      </c>
    </row>
    <row r="320" spans="1:9">
      <c r="A320" s="5">
        <v>46029</v>
      </c>
      <c r="B320" s="6">
        <v>0.0534</v>
      </c>
      <c r="C320" s="7">
        <f t="shared" si="16"/>
        <v>0.0539</v>
      </c>
      <c r="D320" s="7">
        <f t="shared" si="17"/>
        <v>-0.0005</v>
      </c>
      <c r="H320" s="10">
        <f t="shared" si="18"/>
        <v>8.78380279682306e-5</v>
      </c>
      <c r="I320" s="10">
        <f t="shared" si="19"/>
        <v>-0.000587838027968231</v>
      </c>
    </row>
    <row r="321" spans="1:9">
      <c r="A321" s="5">
        <v>46030</v>
      </c>
      <c r="B321" s="6">
        <v>0.0544</v>
      </c>
      <c r="C321" s="7">
        <f t="shared" si="16"/>
        <v>0.0534</v>
      </c>
      <c r="D321" s="7">
        <f t="shared" si="17"/>
        <v>0.000999999999999994</v>
      </c>
      <c r="H321" s="10">
        <f t="shared" si="18"/>
        <v>0.000104734025035046</v>
      </c>
      <c r="I321" s="10">
        <f t="shared" si="19"/>
        <v>0.000895265974964948</v>
      </c>
    </row>
    <row r="322" spans="1:9">
      <c r="A322" s="5">
        <v>46031</v>
      </c>
      <c r="B322" s="6">
        <v>0.0554</v>
      </c>
      <c r="C322" s="7">
        <f t="shared" si="16"/>
        <v>0.0544</v>
      </c>
      <c r="D322" s="7">
        <f t="shared" si="17"/>
        <v>0.001</v>
      </c>
      <c r="H322" s="10">
        <f t="shared" si="18"/>
        <v>7.09420309014154e-5</v>
      </c>
      <c r="I322" s="10">
        <f t="shared" si="19"/>
        <v>0.000929057969098586</v>
      </c>
    </row>
    <row r="323" spans="1:9">
      <c r="A323" s="5">
        <v>46034</v>
      </c>
      <c r="B323" s="6">
        <v>0.0539</v>
      </c>
      <c r="C323" s="7">
        <f t="shared" ref="C323:C386" si="20">B322</f>
        <v>0.0554</v>
      </c>
      <c r="D323" s="7">
        <f t="shared" ref="D323:D386" si="21">B323-C323</f>
        <v>-0.00149999999999999</v>
      </c>
      <c r="H323" s="10">
        <f t="shared" ref="H323:H386" si="22">$G$10+$G$9*C323</f>
        <v>3.71500367677847e-5</v>
      </c>
      <c r="I323" s="10">
        <f t="shared" ref="I323:I386" si="23">D323-H323</f>
        <v>-0.00153715003676778</v>
      </c>
    </row>
    <row r="324" spans="1:9">
      <c r="A324" s="5">
        <v>46035</v>
      </c>
      <c r="B324" s="6">
        <v>0.0539</v>
      </c>
      <c r="C324" s="7">
        <f t="shared" si="20"/>
        <v>0.0539</v>
      </c>
      <c r="D324" s="7">
        <f t="shared" si="21"/>
        <v>0</v>
      </c>
      <c r="H324" s="10">
        <f t="shared" si="22"/>
        <v>8.78380279682306e-5</v>
      </c>
      <c r="I324" s="10">
        <f t="shared" si="23"/>
        <v>-8.78380279682306e-5</v>
      </c>
    </row>
    <row r="325" spans="1:9">
      <c r="A325" s="5">
        <v>46036</v>
      </c>
      <c r="B325" s="6">
        <v>0.0543</v>
      </c>
      <c r="C325" s="7">
        <f t="shared" si="20"/>
        <v>0.0539</v>
      </c>
      <c r="D325" s="7">
        <f t="shared" si="21"/>
        <v>0.000399999999999998</v>
      </c>
      <c r="H325" s="10">
        <f t="shared" si="22"/>
        <v>8.78380279682306e-5</v>
      </c>
      <c r="I325" s="10">
        <f t="shared" si="23"/>
        <v>0.000312161972031767</v>
      </c>
    </row>
    <row r="326" spans="1:9">
      <c r="A326" s="5">
        <v>46038</v>
      </c>
      <c r="B326" s="6">
        <v>0.0546</v>
      </c>
      <c r="C326" s="7">
        <f t="shared" si="20"/>
        <v>0.0543</v>
      </c>
      <c r="D326" s="7">
        <f t="shared" si="21"/>
        <v>0.000300000000000002</v>
      </c>
      <c r="H326" s="10">
        <f t="shared" si="22"/>
        <v>7.43212303147783e-5</v>
      </c>
      <c r="I326" s="10">
        <f t="shared" si="23"/>
        <v>0.000225678769685223</v>
      </c>
    </row>
    <row r="327" spans="1:9">
      <c r="A327" s="5">
        <v>46041</v>
      </c>
      <c r="B327" s="6">
        <v>0.0549</v>
      </c>
      <c r="C327" s="7">
        <f t="shared" si="20"/>
        <v>0.0546</v>
      </c>
      <c r="D327" s="7">
        <f t="shared" si="21"/>
        <v>0.000299999999999995</v>
      </c>
      <c r="H327" s="10">
        <f t="shared" si="22"/>
        <v>6.4183632074689e-5</v>
      </c>
      <c r="I327" s="10">
        <f t="shared" si="23"/>
        <v>0.000235816367925306</v>
      </c>
    </row>
    <row r="328" spans="1:9">
      <c r="A328" s="5">
        <v>46042</v>
      </c>
      <c r="B328" s="6">
        <v>0.0548</v>
      </c>
      <c r="C328" s="7">
        <f t="shared" si="20"/>
        <v>0.0549</v>
      </c>
      <c r="D328" s="7">
        <f t="shared" si="21"/>
        <v>-9.99999999999959e-5</v>
      </c>
      <c r="H328" s="10">
        <f t="shared" si="22"/>
        <v>5.40460338346001e-5</v>
      </c>
      <c r="I328" s="10">
        <f t="shared" si="23"/>
        <v>-0.000154046033834596</v>
      </c>
    </row>
    <row r="329" spans="1:9">
      <c r="A329" s="5">
        <v>46043</v>
      </c>
      <c r="B329" s="6">
        <v>0.0549</v>
      </c>
      <c r="C329" s="7">
        <f t="shared" si="20"/>
        <v>0.0548</v>
      </c>
      <c r="D329" s="7">
        <f t="shared" si="21"/>
        <v>9.99999999999959e-5</v>
      </c>
      <c r="H329" s="10">
        <f t="shared" si="22"/>
        <v>5.74252332479629e-5</v>
      </c>
      <c r="I329" s="10">
        <f t="shared" si="23"/>
        <v>4.2574766752033e-5</v>
      </c>
    </row>
    <row r="330" spans="1:9">
      <c r="A330" s="5">
        <v>46044</v>
      </c>
      <c r="B330" s="6">
        <v>0.0558</v>
      </c>
      <c r="C330" s="7">
        <f t="shared" si="20"/>
        <v>0.0549</v>
      </c>
      <c r="D330" s="7">
        <f t="shared" si="21"/>
        <v>0.000900000000000005</v>
      </c>
      <c r="H330" s="10">
        <f t="shared" si="22"/>
        <v>5.40460338346001e-5</v>
      </c>
      <c r="I330" s="10">
        <f t="shared" si="23"/>
        <v>0.000845953966165405</v>
      </c>
    </row>
    <row r="331" spans="1:9">
      <c r="A331" s="5">
        <v>46045</v>
      </c>
      <c r="B331" s="6">
        <v>0.0544</v>
      </c>
      <c r="C331" s="7">
        <f t="shared" si="20"/>
        <v>0.0558</v>
      </c>
      <c r="D331" s="7">
        <f t="shared" si="21"/>
        <v>-0.00140000000000001</v>
      </c>
      <c r="H331" s="10">
        <f t="shared" si="22"/>
        <v>2.36332391143322e-5</v>
      </c>
      <c r="I331" s="10">
        <f t="shared" si="23"/>
        <v>-0.00142363323911434</v>
      </c>
    </row>
    <row r="332" spans="1:9">
      <c r="A332" s="5">
        <v>46049</v>
      </c>
      <c r="B332" s="6">
        <v>0.0549</v>
      </c>
      <c r="C332" s="7">
        <f t="shared" si="20"/>
        <v>0.0544</v>
      </c>
      <c r="D332" s="7">
        <f t="shared" si="21"/>
        <v>0.0005</v>
      </c>
      <c r="H332" s="10">
        <f t="shared" si="22"/>
        <v>7.09420309014154e-5</v>
      </c>
      <c r="I332" s="10">
        <f t="shared" si="23"/>
        <v>0.000429057969098585</v>
      </c>
    </row>
    <row r="333" spans="1:9">
      <c r="A333" s="5">
        <v>46050</v>
      </c>
      <c r="B333" s="6">
        <v>0.053</v>
      </c>
      <c r="C333" s="7">
        <f t="shared" si="20"/>
        <v>0.0549</v>
      </c>
      <c r="D333" s="7">
        <f t="shared" si="21"/>
        <v>-0.0019</v>
      </c>
      <c r="H333" s="10">
        <f t="shared" si="22"/>
        <v>5.40460338346001e-5</v>
      </c>
      <c r="I333" s="10">
        <f t="shared" si="23"/>
        <v>-0.0019540460338346</v>
      </c>
    </row>
    <row r="334" spans="1:9">
      <c r="A334" s="5">
        <v>46051</v>
      </c>
      <c r="B334" s="6">
        <v>0.0535</v>
      </c>
      <c r="C334" s="7">
        <f t="shared" si="20"/>
        <v>0.053</v>
      </c>
      <c r="D334" s="7">
        <f t="shared" si="21"/>
        <v>0.0005</v>
      </c>
      <c r="H334" s="10">
        <f t="shared" si="22"/>
        <v>0.000118250822688498</v>
      </c>
      <c r="I334" s="10">
        <f t="shared" si="23"/>
        <v>0.000381749177311502</v>
      </c>
    </row>
    <row r="335" spans="1:9">
      <c r="A335" s="5">
        <v>46052</v>
      </c>
      <c r="B335" s="6">
        <v>0.0553</v>
      </c>
      <c r="C335" s="7">
        <f t="shared" si="20"/>
        <v>0.0535</v>
      </c>
      <c r="D335" s="7">
        <f t="shared" si="21"/>
        <v>0.0018</v>
      </c>
      <c r="H335" s="10">
        <f t="shared" si="22"/>
        <v>0.000101354825621683</v>
      </c>
      <c r="I335" s="10">
        <f t="shared" si="23"/>
        <v>0.00169864517437832</v>
      </c>
    </row>
    <row r="336" spans="1:9">
      <c r="A336" s="5">
        <v>46055</v>
      </c>
      <c r="B336" s="6">
        <v>0.0528</v>
      </c>
      <c r="C336" s="7">
        <f t="shared" si="20"/>
        <v>0.0553</v>
      </c>
      <c r="D336" s="7">
        <f t="shared" si="21"/>
        <v>-0.0025</v>
      </c>
      <c r="H336" s="10">
        <f t="shared" si="22"/>
        <v>4.05292361811476e-5</v>
      </c>
      <c r="I336" s="10">
        <f t="shared" si="23"/>
        <v>-0.00254052923618115</v>
      </c>
    </row>
    <row r="337" spans="1:9">
      <c r="A337" s="5">
        <v>46056</v>
      </c>
      <c r="B337" s="6">
        <v>0.0513</v>
      </c>
      <c r="C337" s="7">
        <f t="shared" si="20"/>
        <v>0.0528</v>
      </c>
      <c r="D337" s="7">
        <f t="shared" si="21"/>
        <v>-0.0015</v>
      </c>
      <c r="H337" s="10">
        <f t="shared" si="22"/>
        <v>0.000125009221515224</v>
      </c>
      <c r="I337" s="10">
        <f t="shared" si="23"/>
        <v>-0.00162500922151523</v>
      </c>
    </row>
    <row r="338" spans="1:9">
      <c r="A338" s="5">
        <v>46057</v>
      </c>
      <c r="B338" s="6">
        <v>0.0504</v>
      </c>
      <c r="C338" s="7">
        <f t="shared" si="20"/>
        <v>0.0513</v>
      </c>
      <c r="D338" s="7">
        <f t="shared" si="21"/>
        <v>-0.000899999999999998</v>
      </c>
      <c r="H338" s="10">
        <f t="shared" si="22"/>
        <v>0.000175697212715671</v>
      </c>
      <c r="I338" s="10">
        <f t="shared" si="23"/>
        <v>-0.00107569721271567</v>
      </c>
    </row>
    <row r="339" spans="1:9">
      <c r="A339" s="5">
        <v>46058</v>
      </c>
      <c r="B339" s="6">
        <v>0.0509</v>
      </c>
      <c r="C339" s="7">
        <f t="shared" si="20"/>
        <v>0.0504</v>
      </c>
      <c r="D339" s="7">
        <f t="shared" si="21"/>
        <v>0.0005</v>
      </c>
      <c r="H339" s="10">
        <f t="shared" si="22"/>
        <v>0.000206110007435938</v>
      </c>
      <c r="I339" s="10">
        <f t="shared" si="23"/>
        <v>0.000293889992564062</v>
      </c>
    </row>
    <row r="340" spans="1:9">
      <c r="A340" s="5">
        <v>46059</v>
      </c>
      <c r="B340" s="6">
        <v>0.0509</v>
      </c>
      <c r="C340" s="7">
        <f t="shared" si="20"/>
        <v>0.0509</v>
      </c>
      <c r="D340" s="7">
        <f t="shared" si="21"/>
        <v>0</v>
      </c>
      <c r="H340" s="10">
        <f t="shared" si="22"/>
        <v>0.000189214010369123</v>
      </c>
      <c r="I340" s="10">
        <f t="shared" si="23"/>
        <v>-0.000189214010369123</v>
      </c>
    </row>
    <row r="341" spans="1:9">
      <c r="A341" s="5">
        <v>46062</v>
      </c>
      <c r="B341" s="6">
        <v>0.0509</v>
      </c>
      <c r="C341" s="7">
        <f t="shared" si="20"/>
        <v>0.0509</v>
      </c>
      <c r="D341" s="7">
        <f t="shared" si="21"/>
        <v>0</v>
      </c>
      <c r="H341" s="10">
        <f t="shared" si="22"/>
        <v>0.000189214010369123</v>
      </c>
      <c r="I341" s="10">
        <f t="shared" si="23"/>
        <v>-0.000189214010369123</v>
      </c>
    </row>
    <row r="342" spans="1:9">
      <c r="A342" s="5">
        <v>46063</v>
      </c>
      <c r="B342" s="6">
        <v>0.0509</v>
      </c>
      <c r="C342" s="7">
        <f t="shared" si="20"/>
        <v>0.0509</v>
      </c>
      <c r="D342" s="7">
        <f t="shared" si="21"/>
        <v>0</v>
      </c>
      <c r="H342" s="10">
        <f t="shared" si="22"/>
        <v>0.000189214010369123</v>
      </c>
      <c r="I342" s="10">
        <f t="shared" si="23"/>
        <v>-0.000189214010369123</v>
      </c>
    </row>
    <row r="343" spans="1:9">
      <c r="A343" s="5">
        <v>46064</v>
      </c>
      <c r="B343" s="6">
        <v>0.0508</v>
      </c>
      <c r="C343" s="7">
        <f t="shared" si="20"/>
        <v>0.0509</v>
      </c>
      <c r="D343" s="7">
        <f t="shared" si="21"/>
        <v>-0.000100000000000003</v>
      </c>
      <c r="H343" s="10">
        <f t="shared" si="22"/>
        <v>0.000189214010369123</v>
      </c>
      <c r="I343" s="10">
        <f t="shared" si="23"/>
        <v>-0.000289214010369126</v>
      </c>
    </row>
    <row r="344" spans="1:9">
      <c r="A344" s="5">
        <v>46065</v>
      </c>
      <c r="B344" s="6">
        <v>0.0509</v>
      </c>
      <c r="C344" s="7">
        <f t="shared" si="20"/>
        <v>0.0508</v>
      </c>
      <c r="D344" s="7">
        <f t="shared" si="21"/>
        <v>0.000100000000000003</v>
      </c>
      <c r="H344" s="10">
        <f t="shared" si="22"/>
        <v>0.000192593209782486</v>
      </c>
      <c r="I344" s="10">
        <f t="shared" si="23"/>
        <v>-9.2593209782483e-5</v>
      </c>
    </row>
    <row r="345" spans="1:9">
      <c r="A345" s="5">
        <v>46066</v>
      </c>
      <c r="B345" s="6">
        <v>0.0508</v>
      </c>
      <c r="C345" s="7">
        <f t="shared" si="20"/>
        <v>0.0509</v>
      </c>
      <c r="D345" s="7">
        <f t="shared" si="21"/>
        <v>-0.000100000000000003</v>
      </c>
      <c r="H345" s="10">
        <f t="shared" si="22"/>
        <v>0.000189214010369123</v>
      </c>
      <c r="I345" s="10">
        <f t="shared" si="23"/>
        <v>-0.000289214010369126</v>
      </c>
    </row>
    <row r="346" spans="1:9">
      <c r="A346" s="5">
        <v>46069</v>
      </c>
      <c r="B346" s="6">
        <v>0.0514</v>
      </c>
      <c r="C346" s="7">
        <f t="shared" si="20"/>
        <v>0.0508</v>
      </c>
      <c r="D346" s="7">
        <f t="shared" si="21"/>
        <v>0.000600000000000003</v>
      </c>
      <c r="H346" s="10">
        <f t="shared" si="22"/>
        <v>0.000192593209782486</v>
      </c>
      <c r="I346" s="10">
        <f t="shared" si="23"/>
        <v>0.000407406790217517</v>
      </c>
    </row>
    <row r="347" spans="1:9">
      <c r="A347" s="5">
        <v>46070</v>
      </c>
      <c r="B347" s="6">
        <v>0.0514</v>
      </c>
      <c r="C347" s="7">
        <f t="shared" si="20"/>
        <v>0.0514</v>
      </c>
      <c r="D347" s="7">
        <f t="shared" si="21"/>
        <v>0</v>
      </c>
      <c r="H347" s="10">
        <f t="shared" si="22"/>
        <v>0.000172318013302307</v>
      </c>
      <c r="I347" s="10">
        <f t="shared" si="23"/>
        <v>-0.000172318013302307</v>
      </c>
    </row>
    <row r="348" spans="1:9">
      <c r="A348" s="5">
        <v>46071</v>
      </c>
      <c r="B348" s="6">
        <v>0.0513</v>
      </c>
      <c r="C348" s="7">
        <f t="shared" si="20"/>
        <v>0.0514</v>
      </c>
      <c r="D348" s="7">
        <f t="shared" si="21"/>
        <v>-0.000100000000000003</v>
      </c>
      <c r="H348" s="10">
        <f t="shared" si="22"/>
        <v>0.000172318013302307</v>
      </c>
      <c r="I348" s="10">
        <f t="shared" si="23"/>
        <v>-0.00027231801330231</v>
      </c>
    </row>
    <row r="349" spans="1:9">
      <c r="A349" s="5">
        <v>46073</v>
      </c>
      <c r="B349" s="6">
        <v>0.0514</v>
      </c>
      <c r="C349" s="7">
        <f t="shared" si="20"/>
        <v>0.0513</v>
      </c>
      <c r="D349" s="7">
        <f t="shared" si="21"/>
        <v>0.000100000000000003</v>
      </c>
      <c r="H349" s="10">
        <f t="shared" si="22"/>
        <v>0.000175697212715671</v>
      </c>
      <c r="I349" s="10">
        <f t="shared" si="23"/>
        <v>-7.56972127156678e-5</v>
      </c>
    </row>
    <row r="350" spans="1:9">
      <c r="A350" s="5">
        <v>46076</v>
      </c>
      <c r="B350" s="6">
        <v>0.0517</v>
      </c>
      <c r="C350" s="7">
        <f t="shared" si="20"/>
        <v>0.0514</v>
      </c>
      <c r="D350" s="7">
        <f t="shared" si="21"/>
        <v>0.000300000000000002</v>
      </c>
      <c r="H350" s="10">
        <f t="shared" si="22"/>
        <v>0.000172318013302307</v>
      </c>
      <c r="I350" s="10">
        <f t="shared" si="23"/>
        <v>0.000127681986697694</v>
      </c>
    </row>
    <row r="351" spans="1:9">
      <c r="A351" s="5">
        <v>46077</v>
      </c>
      <c r="B351" s="6">
        <v>0.0517</v>
      </c>
      <c r="C351" s="7">
        <f t="shared" si="20"/>
        <v>0.0517</v>
      </c>
      <c r="D351" s="7">
        <f t="shared" si="21"/>
        <v>0</v>
      </c>
      <c r="H351" s="10">
        <f t="shared" si="22"/>
        <v>0.000162180415062218</v>
      </c>
      <c r="I351" s="10">
        <f t="shared" si="23"/>
        <v>-0.000162180415062218</v>
      </c>
    </row>
    <row r="352" spans="1:9">
      <c r="A352" s="5">
        <v>46078</v>
      </c>
      <c r="B352" s="6">
        <v>0.0514</v>
      </c>
      <c r="C352" s="7">
        <f t="shared" si="20"/>
        <v>0.0517</v>
      </c>
      <c r="D352" s="7">
        <f t="shared" si="21"/>
        <v>-0.000300000000000002</v>
      </c>
      <c r="H352" s="10">
        <f t="shared" si="22"/>
        <v>0.000162180415062218</v>
      </c>
      <c r="I352" s="10">
        <f t="shared" si="23"/>
        <v>-0.00046218041506222</v>
      </c>
    </row>
    <row r="353" spans="1:9">
      <c r="A353" s="5">
        <v>46079</v>
      </c>
      <c r="B353" s="6">
        <v>0.0513</v>
      </c>
      <c r="C353" s="7">
        <f t="shared" si="20"/>
        <v>0.0514</v>
      </c>
      <c r="D353" s="7">
        <f t="shared" si="21"/>
        <v>-0.000100000000000003</v>
      </c>
      <c r="H353" s="10">
        <f t="shared" si="22"/>
        <v>0.000172318013302307</v>
      </c>
      <c r="I353" s="10">
        <f t="shared" si="23"/>
        <v>-0.00027231801330231</v>
      </c>
    </row>
    <row r="354" spans="1:9">
      <c r="A354" s="5">
        <v>46080</v>
      </c>
      <c r="B354" s="6">
        <v>0.0517</v>
      </c>
      <c r="C354" s="7">
        <f t="shared" si="20"/>
        <v>0.0513</v>
      </c>
      <c r="D354" s="7">
        <f t="shared" si="21"/>
        <v>0.000400000000000005</v>
      </c>
      <c r="H354" s="10">
        <f t="shared" si="22"/>
        <v>0.000175697212715671</v>
      </c>
      <c r="I354" s="10">
        <f t="shared" si="23"/>
        <v>0.000224302787284334</v>
      </c>
    </row>
    <row r="355" spans="1:9">
      <c r="A355" s="5">
        <v>46083</v>
      </c>
      <c r="B355" s="6">
        <v>0.0514</v>
      </c>
      <c r="C355" s="7">
        <f t="shared" si="20"/>
        <v>0.0517</v>
      </c>
      <c r="D355" s="7">
        <f t="shared" si="21"/>
        <v>-0.000300000000000002</v>
      </c>
      <c r="H355" s="10">
        <f t="shared" si="22"/>
        <v>0.000162180415062218</v>
      </c>
      <c r="I355" s="10">
        <f t="shared" si="23"/>
        <v>-0.00046218041506222</v>
      </c>
    </row>
    <row r="356" spans="1:9">
      <c r="A356" s="5">
        <v>46085</v>
      </c>
      <c r="B356" s="6">
        <v>0.0516</v>
      </c>
      <c r="C356" s="7">
        <f t="shared" si="20"/>
        <v>0.0514</v>
      </c>
      <c r="D356" s="7">
        <f t="shared" si="21"/>
        <v>0.000199999999999999</v>
      </c>
      <c r="H356" s="10">
        <f t="shared" si="22"/>
        <v>0.000172318013302307</v>
      </c>
      <c r="I356" s="10">
        <f t="shared" si="23"/>
        <v>2.76819866976913e-5</v>
      </c>
    </row>
    <row r="357" spans="1:9">
      <c r="A357" s="5">
        <v>46086</v>
      </c>
      <c r="B357" s="6">
        <v>0.0513</v>
      </c>
      <c r="C357" s="7">
        <f t="shared" si="20"/>
        <v>0.0516</v>
      </c>
      <c r="D357" s="7">
        <f t="shared" si="21"/>
        <v>-0.000300000000000002</v>
      </c>
      <c r="H357" s="10">
        <f t="shared" si="22"/>
        <v>0.000165559614475581</v>
      </c>
      <c r="I357" s="10">
        <f t="shared" si="23"/>
        <v>-0.000465559614475583</v>
      </c>
    </row>
    <row r="358" spans="1:9">
      <c r="A358" s="5">
        <v>46087</v>
      </c>
      <c r="B358" s="6">
        <v>0.0513</v>
      </c>
      <c r="C358" s="7">
        <f t="shared" si="20"/>
        <v>0.0513</v>
      </c>
      <c r="D358" s="7">
        <f t="shared" si="21"/>
        <v>0</v>
      </c>
      <c r="H358" s="10">
        <f t="shared" si="22"/>
        <v>0.000175697212715671</v>
      </c>
      <c r="I358" s="10">
        <f t="shared" si="23"/>
        <v>-0.000175697212715671</v>
      </c>
    </row>
    <row r="359" spans="1:9">
      <c r="A359" s="5">
        <v>46090</v>
      </c>
      <c r="B359" s="6">
        <v>0.0513</v>
      </c>
      <c r="C359" s="7">
        <f t="shared" si="20"/>
        <v>0.0513</v>
      </c>
      <c r="D359" s="7">
        <f t="shared" si="21"/>
        <v>0</v>
      </c>
      <c r="H359" s="10">
        <f t="shared" si="22"/>
        <v>0.000175697212715671</v>
      </c>
      <c r="I359" s="10">
        <f t="shared" si="23"/>
        <v>-0.000175697212715671</v>
      </c>
    </row>
    <row r="360" spans="1:9">
      <c r="A360" s="5">
        <v>46091</v>
      </c>
      <c r="B360" s="6">
        <v>0.0512</v>
      </c>
      <c r="C360" s="7">
        <f t="shared" si="20"/>
        <v>0.0513</v>
      </c>
      <c r="D360" s="7">
        <f t="shared" si="21"/>
        <v>-9.99999999999959e-5</v>
      </c>
      <c r="H360" s="10">
        <f t="shared" si="22"/>
        <v>0.000175697212715671</v>
      </c>
      <c r="I360" s="10">
        <f t="shared" si="23"/>
        <v>-0.000275697212715667</v>
      </c>
    </row>
    <row r="361" spans="1:9">
      <c r="A361" s="5">
        <v>46092</v>
      </c>
      <c r="B361" s="6">
        <v>0.0513</v>
      </c>
      <c r="C361" s="7">
        <f t="shared" si="20"/>
        <v>0.0512</v>
      </c>
      <c r="D361" s="7">
        <f t="shared" si="21"/>
        <v>9.99999999999959e-5</v>
      </c>
      <c r="H361" s="10">
        <f t="shared" si="22"/>
        <v>0.000179076412129033</v>
      </c>
      <c r="I361" s="10">
        <f t="shared" si="23"/>
        <v>-7.90764121290375e-5</v>
      </c>
    </row>
    <row r="362" spans="1:9">
      <c r="A362" s="5">
        <v>46093</v>
      </c>
      <c r="B362" s="6">
        <v>0.0512</v>
      </c>
      <c r="C362" s="7">
        <f t="shared" si="20"/>
        <v>0.0513</v>
      </c>
      <c r="D362" s="7">
        <f t="shared" si="21"/>
        <v>-9.99999999999959e-5</v>
      </c>
      <c r="H362" s="10">
        <f t="shared" si="22"/>
        <v>0.000175697212715671</v>
      </c>
      <c r="I362" s="10">
        <f t="shared" si="23"/>
        <v>-0.000275697212715667</v>
      </c>
    </row>
    <row r="363" spans="1:9">
      <c r="A363" s="5">
        <v>46094</v>
      </c>
      <c r="B363" s="6">
        <v>0.0513</v>
      </c>
      <c r="C363" s="7">
        <f t="shared" si="20"/>
        <v>0.0512</v>
      </c>
      <c r="D363" s="7">
        <f t="shared" si="21"/>
        <v>9.99999999999959e-5</v>
      </c>
      <c r="H363" s="10">
        <f t="shared" si="22"/>
        <v>0.000179076412129033</v>
      </c>
      <c r="I363" s="10">
        <f t="shared" si="23"/>
        <v>-7.90764121290375e-5</v>
      </c>
    </row>
    <row r="364" spans="1:9">
      <c r="A364" s="5">
        <v>46097</v>
      </c>
      <c r="B364" s="6">
        <v>0.0538</v>
      </c>
      <c r="C364" s="7">
        <f t="shared" si="20"/>
        <v>0.0513</v>
      </c>
      <c r="D364" s="7">
        <f t="shared" si="21"/>
        <v>0.0025</v>
      </c>
      <c r="H364" s="10">
        <f t="shared" si="22"/>
        <v>0.000175697212715671</v>
      </c>
      <c r="I364" s="10">
        <f t="shared" si="23"/>
        <v>0.00232430278728433</v>
      </c>
    </row>
    <row r="365" spans="1:9">
      <c r="A365" s="5">
        <v>46098</v>
      </c>
      <c r="B365" s="6">
        <v>0.0532</v>
      </c>
      <c r="C365" s="7">
        <f t="shared" si="20"/>
        <v>0.0538</v>
      </c>
      <c r="D365" s="7">
        <f t="shared" si="21"/>
        <v>-0.000600000000000003</v>
      </c>
      <c r="H365" s="10">
        <f t="shared" si="22"/>
        <v>9.12172273815938e-5</v>
      </c>
      <c r="I365" s="10">
        <f t="shared" si="23"/>
        <v>-0.000691217227381597</v>
      </c>
    </row>
    <row r="366" spans="1:9">
      <c r="A366" s="5">
        <v>46099</v>
      </c>
      <c r="B366" s="6">
        <v>0.0534</v>
      </c>
      <c r="C366" s="7">
        <f t="shared" si="20"/>
        <v>0.0532</v>
      </c>
      <c r="D366" s="7">
        <f t="shared" si="21"/>
        <v>0.000200000000000006</v>
      </c>
      <c r="H366" s="10">
        <f t="shared" si="22"/>
        <v>0.000111492423861772</v>
      </c>
      <c r="I366" s="10">
        <f t="shared" si="23"/>
        <v>8.85075761382335e-5</v>
      </c>
    </row>
    <row r="367" spans="1:9">
      <c r="A367" s="5">
        <v>46101</v>
      </c>
      <c r="B367" s="6">
        <v>0.054</v>
      </c>
      <c r="C367" s="7">
        <f t="shared" si="20"/>
        <v>0.0534</v>
      </c>
      <c r="D367" s="7">
        <f t="shared" si="21"/>
        <v>0.000599999999999996</v>
      </c>
      <c r="H367" s="10">
        <f t="shared" si="22"/>
        <v>0.000104734025035046</v>
      </c>
      <c r="I367" s="10">
        <f t="shared" si="23"/>
        <v>0.000495265974964951</v>
      </c>
    </row>
    <row r="368" spans="1:9">
      <c r="A368" s="5">
        <v>46104</v>
      </c>
      <c r="B368" s="6">
        <v>0.0538</v>
      </c>
      <c r="C368" s="7">
        <f t="shared" si="20"/>
        <v>0.054</v>
      </c>
      <c r="D368" s="7">
        <f t="shared" si="21"/>
        <v>-0.000199999999999999</v>
      </c>
      <c r="H368" s="10">
        <f t="shared" si="22"/>
        <v>8.44588285548677e-5</v>
      </c>
      <c r="I368" s="10">
        <f t="shared" si="23"/>
        <v>-0.000284458828554866</v>
      </c>
    </row>
    <row r="369" spans="1:9">
      <c r="A369" s="5">
        <v>46105</v>
      </c>
      <c r="B369" s="6">
        <v>0.0539</v>
      </c>
      <c r="C369" s="7">
        <f t="shared" si="20"/>
        <v>0.0538</v>
      </c>
      <c r="D369" s="7">
        <f t="shared" si="21"/>
        <v>0.000100000000000003</v>
      </c>
      <c r="H369" s="10">
        <f t="shared" si="22"/>
        <v>9.12172273815938e-5</v>
      </c>
      <c r="I369" s="10">
        <f t="shared" si="23"/>
        <v>8.78277261840907e-6</v>
      </c>
    </row>
    <row r="370" spans="1:9">
      <c r="A370" s="5">
        <v>46106</v>
      </c>
      <c r="B370" s="6">
        <v>0.0539</v>
      </c>
      <c r="C370" s="7">
        <f t="shared" si="20"/>
        <v>0.0539</v>
      </c>
      <c r="D370" s="7">
        <f t="shared" si="21"/>
        <v>0</v>
      </c>
      <c r="H370" s="10">
        <f t="shared" si="22"/>
        <v>8.78380279682306e-5</v>
      </c>
      <c r="I370" s="10">
        <f t="shared" si="23"/>
        <v>-8.78380279682306e-5</v>
      </c>
    </row>
    <row r="371" spans="1:9">
      <c r="A371" s="5">
        <v>46108</v>
      </c>
      <c r="B371" s="6">
        <v>0.0554</v>
      </c>
      <c r="C371" s="7">
        <f t="shared" si="20"/>
        <v>0.0539</v>
      </c>
      <c r="D371" s="7">
        <f t="shared" si="21"/>
        <v>0.00149999999999999</v>
      </c>
      <c r="H371" s="10">
        <f t="shared" si="22"/>
        <v>8.78380279682306e-5</v>
      </c>
      <c r="I371" s="10">
        <f t="shared" si="23"/>
        <v>0.00141216197203176</v>
      </c>
    </row>
    <row r="372" spans="1:9">
      <c r="A372" s="5">
        <v>46111</v>
      </c>
      <c r="B372" s="6">
        <v>0.0698</v>
      </c>
      <c r="C372" s="7">
        <f t="shared" si="20"/>
        <v>0.0554</v>
      </c>
      <c r="D372" s="7">
        <f t="shared" si="21"/>
        <v>0.0144</v>
      </c>
      <c r="H372" s="10">
        <f t="shared" si="22"/>
        <v>3.71500367677847e-5</v>
      </c>
      <c r="I372" s="10">
        <f t="shared" si="23"/>
        <v>0.0143628499632322</v>
      </c>
    </row>
    <row r="373" spans="1:9">
      <c r="A373" s="5">
        <v>46114</v>
      </c>
      <c r="B373" s="6">
        <v>0.0524</v>
      </c>
      <c r="C373" s="7">
        <f t="shared" si="20"/>
        <v>0.0698</v>
      </c>
      <c r="D373" s="7">
        <f t="shared" si="21"/>
        <v>-0.0174</v>
      </c>
      <c r="H373" s="10">
        <f t="shared" si="22"/>
        <v>-0.000449454678756497</v>
      </c>
      <c r="I373" s="10">
        <f t="shared" si="23"/>
        <v>-0.0169505453212435</v>
      </c>
    </row>
    <row r="374" spans="1:9">
      <c r="A374" s="5">
        <v>46118</v>
      </c>
      <c r="B374" s="6">
        <v>0.0513</v>
      </c>
      <c r="C374" s="7">
        <f t="shared" si="20"/>
        <v>0.0524</v>
      </c>
      <c r="D374" s="7">
        <f t="shared" si="21"/>
        <v>-0.0011</v>
      </c>
      <c r="H374" s="10">
        <f t="shared" si="22"/>
        <v>0.000138526019168677</v>
      </c>
      <c r="I374" s="10">
        <f t="shared" si="23"/>
        <v>-0.00123852601916868</v>
      </c>
    </row>
    <row r="375" spans="1:9">
      <c r="A375" s="5">
        <v>46119</v>
      </c>
      <c r="B375" s="6">
        <v>0.0513</v>
      </c>
      <c r="C375" s="7">
        <f t="shared" si="20"/>
        <v>0.0513</v>
      </c>
      <c r="D375" s="7">
        <f t="shared" si="21"/>
        <v>0</v>
      </c>
      <c r="H375" s="10">
        <f t="shared" si="22"/>
        <v>0.000175697212715671</v>
      </c>
      <c r="I375" s="10">
        <f t="shared" si="23"/>
        <v>-0.000175697212715671</v>
      </c>
    </row>
    <row r="376" spans="1:9">
      <c r="A376" s="5">
        <v>46120</v>
      </c>
      <c r="B376" s="6">
        <v>0.0513</v>
      </c>
      <c r="C376" s="7">
        <f t="shared" si="20"/>
        <v>0.0513</v>
      </c>
      <c r="D376" s="7">
        <f t="shared" si="21"/>
        <v>0</v>
      </c>
      <c r="H376" s="10">
        <f t="shared" si="22"/>
        <v>0.000175697212715671</v>
      </c>
      <c r="I376" s="10">
        <f t="shared" si="23"/>
        <v>-0.000175697212715671</v>
      </c>
    </row>
    <row r="377" spans="1:9">
      <c r="A377" s="5">
        <v>46121</v>
      </c>
      <c r="B377" s="6">
        <v>0.0513</v>
      </c>
      <c r="C377" s="7">
        <f t="shared" si="20"/>
        <v>0.0513</v>
      </c>
      <c r="D377" s="7">
        <f t="shared" si="21"/>
        <v>0</v>
      </c>
      <c r="H377" s="10">
        <f t="shared" si="22"/>
        <v>0.000175697212715671</v>
      </c>
      <c r="I377" s="10">
        <f t="shared" si="23"/>
        <v>-0.000175697212715671</v>
      </c>
    </row>
    <row r="378" spans="1:9">
      <c r="A378" s="5">
        <v>46122</v>
      </c>
      <c r="B378" s="6">
        <v>0.0509</v>
      </c>
      <c r="C378" s="7">
        <f t="shared" si="20"/>
        <v>0.0513</v>
      </c>
      <c r="D378" s="7">
        <f t="shared" si="21"/>
        <v>-0.000399999999999998</v>
      </c>
      <c r="H378" s="10">
        <f t="shared" si="22"/>
        <v>0.000175697212715671</v>
      </c>
      <c r="I378" s="10">
        <f t="shared" si="23"/>
        <v>-0.000575697212715668</v>
      </c>
    </row>
    <row r="379" spans="1:9">
      <c r="A379" s="5">
        <v>46125</v>
      </c>
      <c r="B379" s="6">
        <v>0.0509</v>
      </c>
      <c r="C379" s="7">
        <f t="shared" si="20"/>
        <v>0.0509</v>
      </c>
      <c r="D379" s="7">
        <f t="shared" si="21"/>
        <v>0</v>
      </c>
      <c r="H379" s="10">
        <f t="shared" si="22"/>
        <v>0.000189214010369123</v>
      </c>
      <c r="I379" s="10">
        <f t="shared" si="23"/>
        <v>-0.000189214010369123</v>
      </c>
    </row>
    <row r="380" spans="1:9">
      <c r="A380" s="5">
        <v>46127</v>
      </c>
      <c r="B380" s="6">
        <v>0.0512</v>
      </c>
      <c r="C380" s="7">
        <f t="shared" si="20"/>
        <v>0.0509</v>
      </c>
      <c r="D380" s="7">
        <f t="shared" si="21"/>
        <v>0.000300000000000002</v>
      </c>
      <c r="H380" s="10">
        <f t="shared" si="22"/>
        <v>0.000189214010369123</v>
      </c>
      <c r="I380" s="10">
        <f t="shared" si="23"/>
        <v>0.000110785989630879</v>
      </c>
    </row>
    <row r="381" spans="1:9">
      <c r="A381" s="5">
        <v>46128</v>
      </c>
      <c r="B381" s="6">
        <v>0.0513</v>
      </c>
      <c r="C381" s="7">
        <f t="shared" si="20"/>
        <v>0.0512</v>
      </c>
      <c r="D381" s="7">
        <f t="shared" si="21"/>
        <v>9.99999999999959e-5</v>
      </c>
      <c r="H381" s="10">
        <f t="shared" si="22"/>
        <v>0.000179076412129033</v>
      </c>
      <c r="I381" s="10">
        <f t="shared" si="23"/>
        <v>-7.90764121290375e-5</v>
      </c>
    </row>
    <row r="382" spans="1:9">
      <c r="A382" s="5">
        <v>46129</v>
      </c>
      <c r="B382" s="6">
        <v>0.0513</v>
      </c>
      <c r="C382" s="7">
        <f t="shared" si="20"/>
        <v>0.0513</v>
      </c>
      <c r="D382" s="7">
        <f t="shared" si="21"/>
        <v>0</v>
      </c>
      <c r="H382" s="10">
        <f t="shared" si="22"/>
        <v>0.000175697212715671</v>
      </c>
      <c r="I382" s="10">
        <f t="shared" si="23"/>
        <v>-0.000175697212715671</v>
      </c>
    </row>
    <row r="383" spans="1:9">
      <c r="A383" s="5">
        <v>46132</v>
      </c>
      <c r="B383" s="6">
        <v>0.0513</v>
      </c>
      <c r="C383" s="7">
        <f t="shared" si="20"/>
        <v>0.0513</v>
      </c>
      <c r="D383" s="7">
        <f t="shared" si="21"/>
        <v>0</v>
      </c>
      <c r="H383" s="10">
        <f t="shared" si="22"/>
        <v>0.000175697212715671</v>
      </c>
      <c r="I383" s="10">
        <f t="shared" si="23"/>
        <v>-0.000175697212715671</v>
      </c>
    </row>
    <row r="384" spans="1:9">
      <c r="A384" s="5">
        <v>46133</v>
      </c>
      <c r="B384" s="6">
        <v>0.0518</v>
      </c>
      <c r="C384" s="7">
        <f t="shared" si="20"/>
        <v>0.0513</v>
      </c>
      <c r="D384" s="7">
        <f t="shared" si="21"/>
        <v>0.0005</v>
      </c>
      <c r="H384" s="10">
        <f t="shared" si="22"/>
        <v>0.000175697212715671</v>
      </c>
      <c r="I384" s="10">
        <f t="shared" si="23"/>
        <v>0.00032430278728433</v>
      </c>
    </row>
    <row r="385" spans="1:9">
      <c r="A385" s="5">
        <v>46134</v>
      </c>
      <c r="B385" s="6">
        <v>0.0538</v>
      </c>
      <c r="C385" s="7">
        <f t="shared" si="20"/>
        <v>0.0518</v>
      </c>
      <c r="D385" s="7">
        <f t="shared" si="21"/>
        <v>0.002</v>
      </c>
      <c r="H385" s="10">
        <f t="shared" si="22"/>
        <v>0.000158801215648855</v>
      </c>
      <c r="I385" s="10">
        <f t="shared" si="23"/>
        <v>0.00184119878435115</v>
      </c>
    </row>
    <row r="386" spans="1:9">
      <c r="A386" s="5">
        <v>46135</v>
      </c>
      <c r="B386" s="6">
        <v>0.0529</v>
      </c>
      <c r="C386" s="7">
        <f t="shared" si="20"/>
        <v>0.0538</v>
      </c>
      <c r="D386" s="7">
        <f t="shared" si="21"/>
        <v>-0.000899999999999998</v>
      </c>
      <c r="H386" s="10">
        <f t="shared" si="22"/>
        <v>9.12172273815938e-5</v>
      </c>
      <c r="I386" s="10">
        <f t="shared" si="23"/>
        <v>-0.000991217227381592</v>
      </c>
    </row>
    <row r="387" spans="1:9">
      <c r="A387" s="5">
        <v>46136</v>
      </c>
      <c r="B387" s="6">
        <v>0.0514</v>
      </c>
      <c r="C387" s="7">
        <f t="shared" ref="C387:C450" si="24">B386</f>
        <v>0.0529</v>
      </c>
      <c r="D387" s="7">
        <f t="shared" ref="D387:D450" si="25">B387-C387</f>
        <v>-0.0015</v>
      </c>
      <c r="H387" s="10">
        <f t="shared" ref="H387:H450" si="26">$G$10+$G$9*C387</f>
        <v>0.000121630022101861</v>
      </c>
      <c r="I387" s="10">
        <f t="shared" ref="I387:I450" si="27">D387-H387</f>
        <v>-0.00162163002210186</v>
      </c>
    </row>
    <row r="388" spans="1:9">
      <c r="A388" s="5">
        <v>46139</v>
      </c>
      <c r="B388" s="6">
        <v>0.0514</v>
      </c>
      <c r="C388" s="7">
        <f t="shared" si="24"/>
        <v>0.0514</v>
      </c>
      <c r="D388" s="7">
        <f t="shared" si="25"/>
        <v>0</v>
      </c>
      <c r="H388" s="10">
        <f t="shared" si="26"/>
        <v>0.000172318013302307</v>
      </c>
      <c r="I388" s="10">
        <f t="shared" si="27"/>
        <v>-0.000172318013302307</v>
      </c>
    </row>
    <row r="389" spans="1:9">
      <c r="A389" s="5">
        <v>46140</v>
      </c>
      <c r="B389" s="6">
        <v>0.0519</v>
      </c>
      <c r="C389" s="7">
        <f t="shared" si="24"/>
        <v>0.0514</v>
      </c>
      <c r="D389" s="7">
        <f t="shared" si="25"/>
        <v>0.0005</v>
      </c>
      <c r="H389" s="10">
        <f t="shared" si="26"/>
        <v>0.000172318013302307</v>
      </c>
      <c r="I389" s="10">
        <f t="shared" si="27"/>
        <v>0.000327681986697693</v>
      </c>
    </row>
    <row r="390" spans="1:9">
      <c r="A390" s="5">
        <v>46141</v>
      </c>
      <c r="B390" s="6">
        <v>0.0519</v>
      </c>
      <c r="C390" s="7">
        <f t="shared" si="24"/>
        <v>0.0519</v>
      </c>
      <c r="D390" s="7">
        <f t="shared" si="25"/>
        <v>0</v>
      </c>
      <c r="H390" s="10">
        <f t="shared" si="26"/>
        <v>0.000155422016235492</v>
      </c>
      <c r="I390" s="10">
        <f t="shared" si="27"/>
        <v>-0.000155422016235492</v>
      </c>
    </row>
    <row r="391" spans="1:9">
      <c r="A391" s="5">
        <v>46142</v>
      </c>
      <c r="B391" s="6">
        <v>0.0534</v>
      </c>
      <c r="C391" s="7">
        <f t="shared" si="24"/>
        <v>0.0519</v>
      </c>
      <c r="D391" s="7">
        <f t="shared" si="25"/>
        <v>0.0015</v>
      </c>
      <c r="H391" s="10">
        <f t="shared" si="26"/>
        <v>0.000155422016235492</v>
      </c>
      <c r="I391" s="10">
        <f t="shared" si="27"/>
        <v>0.00134457798376451</v>
      </c>
    </row>
    <row r="392" spans="1:9">
      <c r="A392" s="5">
        <v>46146</v>
      </c>
      <c r="B392" s="6">
        <v>0.0523</v>
      </c>
      <c r="C392" s="7">
        <f t="shared" si="24"/>
        <v>0.0534</v>
      </c>
      <c r="D392" s="7">
        <f t="shared" si="25"/>
        <v>-0.0011</v>
      </c>
      <c r="H392" s="10">
        <f t="shared" si="26"/>
        <v>0.000104734025035046</v>
      </c>
      <c r="I392" s="10">
        <f t="shared" si="27"/>
        <v>-0.00120473402503505</v>
      </c>
    </row>
    <row r="393" spans="1:9">
      <c r="A393" s="5">
        <v>46147</v>
      </c>
      <c r="B393" s="6">
        <v>0.0523</v>
      </c>
      <c r="C393" s="7">
        <f t="shared" si="24"/>
        <v>0.0523</v>
      </c>
      <c r="D393" s="7">
        <f t="shared" si="25"/>
        <v>0</v>
      </c>
      <c r="H393" s="10">
        <f t="shared" si="26"/>
        <v>0.00014190521858204</v>
      </c>
      <c r="I393" s="10">
        <f t="shared" si="27"/>
        <v>-0.00014190521858204</v>
      </c>
    </row>
    <row r="394" spans="1:9">
      <c r="A394" s="5">
        <v>46148</v>
      </c>
      <c r="B394" s="6">
        <v>0.0522</v>
      </c>
      <c r="C394" s="7">
        <f t="shared" si="24"/>
        <v>0.0523</v>
      </c>
      <c r="D394" s="7">
        <f t="shared" si="25"/>
        <v>-9.99999999999959e-5</v>
      </c>
      <c r="H394" s="10">
        <f t="shared" si="26"/>
        <v>0.00014190521858204</v>
      </c>
      <c r="I394" s="10">
        <f t="shared" si="27"/>
        <v>-0.000241905218582036</v>
      </c>
    </row>
    <row r="395" spans="1:9">
      <c r="A395" s="5">
        <v>46149</v>
      </c>
      <c r="B395" s="6">
        <v>0.0523</v>
      </c>
      <c r="C395" s="7">
        <f t="shared" si="24"/>
        <v>0.0522</v>
      </c>
      <c r="D395" s="7">
        <f t="shared" si="25"/>
        <v>9.99999999999959e-5</v>
      </c>
      <c r="H395" s="10">
        <f t="shared" si="26"/>
        <v>0.000145284417995403</v>
      </c>
      <c r="I395" s="10">
        <f t="shared" si="27"/>
        <v>-4.52844179954068e-5</v>
      </c>
    </row>
    <row r="396" spans="1:9">
      <c r="A396" s="5">
        <v>46150</v>
      </c>
      <c r="B396" s="6">
        <v>0.0523</v>
      </c>
      <c r="C396" s="7">
        <f t="shared" si="24"/>
        <v>0.0523</v>
      </c>
      <c r="D396" s="7">
        <f t="shared" si="25"/>
        <v>0</v>
      </c>
      <c r="H396" s="10">
        <f t="shared" si="26"/>
        <v>0.00014190521858204</v>
      </c>
      <c r="I396" s="10">
        <f t="shared" si="27"/>
        <v>-0.00014190521858204</v>
      </c>
    </row>
    <row r="397" spans="1:9">
      <c r="A397" s="5">
        <v>46153</v>
      </c>
      <c r="B397" s="6">
        <v>0.0538</v>
      </c>
      <c r="C397" s="7">
        <f t="shared" si="24"/>
        <v>0.0523</v>
      </c>
      <c r="D397" s="7">
        <f t="shared" si="25"/>
        <v>0.0015</v>
      </c>
      <c r="H397" s="10">
        <f t="shared" si="26"/>
        <v>0.00014190521858204</v>
      </c>
      <c r="I397" s="10">
        <f t="shared" si="27"/>
        <v>0.00135809478141796</v>
      </c>
    </row>
    <row r="398" spans="1:9">
      <c r="A398" s="5">
        <v>46154</v>
      </c>
      <c r="B398" s="6">
        <v>0.0532</v>
      </c>
      <c r="C398" s="7">
        <f t="shared" si="24"/>
        <v>0.0538</v>
      </c>
      <c r="D398" s="7">
        <f t="shared" si="25"/>
        <v>-0.000600000000000003</v>
      </c>
      <c r="H398" s="10">
        <f t="shared" si="26"/>
        <v>9.12172273815938e-5</v>
      </c>
      <c r="I398" s="10">
        <f t="shared" si="27"/>
        <v>-0.000691217227381597</v>
      </c>
    </row>
    <row r="399" spans="1:9">
      <c r="A399" s="5">
        <v>46155</v>
      </c>
      <c r="B399" s="6">
        <v>0.0531</v>
      </c>
      <c r="C399" s="7">
        <f t="shared" si="24"/>
        <v>0.0532</v>
      </c>
      <c r="D399" s="7">
        <f t="shared" si="25"/>
        <v>-9.99999999999959e-5</v>
      </c>
      <c r="H399" s="10">
        <f t="shared" si="26"/>
        <v>0.000111492423861772</v>
      </c>
      <c r="I399" s="10">
        <f t="shared" si="27"/>
        <v>-0.000211492423861768</v>
      </c>
    </row>
    <row r="400" spans="1:9">
      <c r="A400" s="5">
        <v>46156</v>
      </c>
      <c r="B400" s="6">
        <v>0.0527</v>
      </c>
      <c r="C400" s="7">
        <f t="shared" si="24"/>
        <v>0.0531</v>
      </c>
      <c r="D400" s="7">
        <f t="shared" si="25"/>
        <v>-0.000400000000000005</v>
      </c>
      <c r="H400" s="10">
        <f t="shared" si="26"/>
        <v>0.000114871623275135</v>
      </c>
      <c r="I400" s="10">
        <f t="shared" si="27"/>
        <v>-0.00051487162327514</v>
      </c>
    </row>
    <row r="401" spans="1:9">
      <c r="A401" s="5">
        <v>46157</v>
      </c>
      <c r="B401" s="6">
        <v>0.0527</v>
      </c>
      <c r="C401" s="7">
        <f t="shared" si="24"/>
        <v>0.0527</v>
      </c>
      <c r="D401" s="7">
        <f t="shared" si="25"/>
        <v>0</v>
      </c>
      <c r="H401" s="10">
        <f t="shared" si="26"/>
        <v>0.000128388420928588</v>
      </c>
      <c r="I401" s="10">
        <f t="shared" si="27"/>
        <v>-0.000128388420928588</v>
      </c>
    </row>
    <row r="402" spans="1:9">
      <c r="A402" s="5">
        <v>46160</v>
      </c>
      <c r="B402" s="6">
        <v>0.0523</v>
      </c>
      <c r="C402" s="7">
        <f t="shared" si="24"/>
        <v>0.0527</v>
      </c>
      <c r="D402" s="7">
        <f t="shared" si="25"/>
        <v>-0.000399999999999998</v>
      </c>
      <c r="H402" s="10">
        <f t="shared" si="26"/>
        <v>0.000128388420928588</v>
      </c>
      <c r="I402" s="10">
        <f t="shared" si="27"/>
        <v>-0.000528388420928585</v>
      </c>
    </row>
    <row r="403" spans="1:9">
      <c r="A403" s="5">
        <v>46161</v>
      </c>
      <c r="B403" s="6">
        <v>0.0527</v>
      </c>
      <c r="C403" s="7">
        <f t="shared" si="24"/>
        <v>0.0523</v>
      </c>
      <c r="D403" s="7">
        <f t="shared" si="25"/>
        <v>0.000399999999999998</v>
      </c>
      <c r="H403" s="10">
        <f t="shared" si="26"/>
        <v>0.00014190521858204</v>
      </c>
      <c r="I403" s="10">
        <f t="shared" si="27"/>
        <v>0.000258094781417958</v>
      </c>
    </row>
    <row r="404" spans="1:9">
      <c r="A404" s="5">
        <v>46162</v>
      </c>
      <c r="B404" s="6">
        <v>0.0528</v>
      </c>
      <c r="C404" s="7">
        <f t="shared" si="24"/>
        <v>0.0527</v>
      </c>
      <c r="D404" s="7">
        <f t="shared" si="25"/>
        <v>0.000100000000000003</v>
      </c>
      <c r="H404" s="10">
        <f t="shared" si="26"/>
        <v>0.000128388420928588</v>
      </c>
      <c r="I404" s="10">
        <f t="shared" si="27"/>
        <v>-2.83884209285848e-5</v>
      </c>
    </row>
    <row r="405" spans="1:9">
      <c r="A405" s="5">
        <v>46163</v>
      </c>
      <c r="B405" s="6">
        <v>0.0533</v>
      </c>
      <c r="C405" s="7">
        <f t="shared" si="24"/>
        <v>0.0528</v>
      </c>
      <c r="D405" s="7">
        <f t="shared" si="25"/>
        <v>0.0005</v>
      </c>
      <c r="H405" s="10">
        <f t="shared" si="26"/>
        <v>0.000125009221515224</v>
      </c>
      <c r="I405" s="10">
        <f t="shared" si="27"/>
        <v>0.000374990778484776</v>
      </c>
    </row>
    <row r="406" spans="1:9">
      <c r="A406" s="5">
        <v>46164</v>
      </c>
      <c r="B406" s="6">
        <v>0.0543</v>
      </c>
      <c r="C406" s="7">
        <f t="shared" si="24"/>
        <v>0.0533</v>
      </c>
      <c r="D406" s="7">
        <f t="shared" si="25"/>
        <v>0.001</v>
      </c>
      <c r="H406" s="10">
        <f t="shared" si="26"/>
        <v>0.000108113224448409</v>
      </c>
      <c r="I406" s="10">
        <f t="shared" si="27"/>
        <v>0.000891886775551592</v>
      </c>
    </row>
    <row r="407" spans="1:9">
      <c r="A407" s="5">
        <v>46167</v>
      </c>
      <c r="B407" s="6">
        <v>0.0543</v>
      </c>
      <c r="C407" s="7">
        <f t="shared" si="24"/>
        <v>0.0543</v>
      </c>
      <c r="D407" s="7">
        <f t="shared" si="25"/>
        <v>0</v>
      </c>
      <c r="H407" s="10">
        <f t="shared" si="26"/>
        <v>7.43212303147783e-5</v>
      </c>
      <c r="I407" s="10">
        <f t="shared" si="27"/>
        <v>-7.43212303147783e-5</v>
      </c>
    </row>
    <row r="408" spans="1:9">
      <c r="A408" s="5">
        <v>46168</v>
      </c>
      <c r="B408" s="6">
        <v>0.0543</v>
      </c>
      <c r="C408" s="7">
        <f t="shared" si="24"/>
        <v>0.0543</v>
      </c>
      <c r="D408" s="7">
        <f t="shared" si="25"/>
        <v>0</v>
      </c>
      <c r="H408" s="10">
        <f t="shared" si="26"/>
        <v>7.43212303147783e-5</v>
      </c>
      <c r="I408" s="10">
        <f t="shared" si="27"/>
        <v>-7.43212303147783e-5</v>
      </c>
    </row>
    <row r="409" spans="1:9">
      <c r="A409" s="5">
        <v>46169</v>
      </c>
      <c r="B409" s="6">
        <v>0.0543</v>
      </c>
      <c r="C409" s="7">
        <f t="shared" si="24"/>
        <v>0.0543</v>
      </c>
      <c r="D409" s="7">
        <f t="shared" si="25"/>
        <v>0</v>
      </c>
      <c r="H409" s="10">
        <f t="shared" si="26"/>
        <v>7.43212303147783e-5</v>
      </c>
      <c r="I409" s="10">
        <f t="shared" si="27"/>
        <v>-7.43212303147783e-5</v>
      </c>
    </row>
    <row r="410" spans="1:9">
      <c r="A410" s="5">
        <v>46171</v>
      </c>
      <c r="B410" s="6">
        <v>0.0552</v>
      </c>
      <c r="C410" s="7">
        <f t="shared" si="24"/>
        <v>0.0543</v>
      </c>
      <c r="D410" s="7">
        <f t="shared" si="25"/>
        <v>0.000899999999999998</v>
      </c>
      <c r="H410" s="10">
        <f t="shared" si="26"/>
        <v>7.43212303147783e-5</v>
      </c>
      <c r="I410" s="10">
        <f t="shared" si="27"/>
        <v>0.00082567876968522</v>
      </c>
    </row>
    <row r="411" spans="1:9">
      <c r="A411" s="5">
        <v>46174</v>
      </c>
      <c r="B411" s="6">
        <v>0.0534</v>
      </c>
      <c r="C411" s="7">
        <f t="shared" si="24"/>
        <v>0.0552</v>
      </c>
      <c r="D411" s="7">
        <f t="shared" si="25"/>
        <v>-0.0018</v>
      </c>
      <c r="H411" s="10">
        <f t="shared" si="26"/>
        <v>4.39084355945108e-5</v>
      </c>
      <c r="I411" s="10">
        <f t="shared" si="27"/>
        <v>-0.00184390843559451</v>
      </c>
    </row>
    <row r="412" spans="1:9">
      <c r="A412" s="5">
        <v>46175</v>
      </c>
      <c r="B412" s="6">
        <v>0.0534</v>
      </c>
      <c r="C412" s="7">
        <f t="shared" si="24"/>
        <v>0.0534</v>
      </c>
      <c r="D412" s="7">
        <f t="shared" si="25"/>
        <v>0</v>
      </c>
      <c r="H412" s="10">
        <f t="shared" si="26"/>
        <v>0.000104734025035046</v>
      </c>
      <c r="I412" s="10">
        <f t="shared" si="27"/>
        <v>-0.000104734025035046</v>
      </c>
    </row>
    <row r="413" spans="1:9">
      <c r="A413" s="5">
        <v>46176</v>
      </c>
      <c r="B413" s="6">
        <v>0.0533</v>
      </c>
      <c r="C413" s="7">
        <f t="shared" si="24"/>
        <v>0.0534</v>
      </c>
      <c r="D413" s="7">
        <f t="shared" si="25"/>
        <v>-0.000100000000000003</v>
      </c>
      <c r="H413" s="10">
        <f t="shared" si="26"/>
        <v>0.000104734025035046</v>
      </c>
      <c r="I413" s="10">
        <f t="shared" si="27"/>
        <v>-0.000204734025035049</v>
      </c>
    </row>
    <row r="414" spans="1:9">
      <c r="A414" s="5">
        <v>46177</v>
      </c>
      <c r="B414" s="6">
        <v>0.0533</v>
      </c>
      <c r="C414" s="7">
        <f t="shared" si="24"/>
        <v>0.0533</v>
      </c>
      <c r="D414" s="7">
        <f t="shared" si="25"/>
        <v>0</v>
      </c>
      <c r="H414" s="10">
        <f t="shared" si="26"/>
        <v>0.000108113224448409</v>
      </c>
      <c r="I414" s="10">
        <f t="shared" si="27"/>
        <v>-0.000108113224448409</v>
      </c>
    </row>
    <row r="415" spans="1:9">
      <c r="A415" s="5">
        <v>46178</v>
      </c>
      <c r="B415" s="6">
        <v>0.0536</v>
      </c>
      <c r="C415" s="7">
        <f t="shared" si="24"/>
        <v>0.0533</v>
      </c>
      <c r="D415" s="7">
        <f t="shared" si="25"/>
        <v>0.000300000000000002</v>
      </c>
      <c r="H415" s="10">
        <f t="shared" si="26"/>
        <v>0.000108113224448409</v>
      </c>
      <c r="I415" s="10">
        <f t="shared" si="27"/>
        <v>0.000191886775551593</v>
      </c>
    </row>
    <row r="416" spans="1:9">
      <c r="A416" s="5">
        <v>46181</v>
      </c>
      <c r="B416" s="6">
        <v>0.0538</v>
      </c>
      <c r="C416" s="7">
        <f t="shared" si="24"/>
        <v>0.0536</v>
      </c>
      <c r="D416" s="7">
        <f t="shared" si="25"/>
        <v>0.000199999999999999</v>
      </c>
      <c r="H416" s="10">
        <f t="shared" si="26"/>
        <v>9.79756262083197e-5</v>
      </c>
      <c r="I416" s="10">
        <f t="shared" si="27"/>
        <v>0.000102024373791679</v>
      </c>
    </row>
    <row r="417" spans="1:9">
      <c r="A417" s="5">
        <v>46182</v>
      </c>
      <c r="B417" s="6">
        <v>0.0533</v>
      </c>
      <c r="C417" s="7">
        <f t="shared" si="24"/>
        <v>0.0538</v>
      </c>
      <c r="D417" s="7">
        <f t="shared" si="25"/>
        <v>-0.0005</v>
      </c>
      <c r="H417" s="10">
        <f t="shared" si="26"/>
        <v>9.12172273815938e-5</v>
      </c>
      <c r="I417" s="10">
        <f t="shared" si="27"/>
        <v>-0.000591217227381594</v>
      </c>
    </row>
    <row r="418" spans="1:9">
      <c r="A418" s="5">
        <v>46183</v>
      </c>
      <c r="B418" s="6">
        <v>0.0533</v>
      </c>
      <c r="C418" s="7">
        <f t="shared" si="24"/>
        <v>0.0533</v>
      </c>
      <c r="D418" s="7">
        <f t="shared" si="25"/>
        <v>0</v>
      </c>
      <c r="H418" s="10">
        <f t="shared" si="26"/>
        <v>0.000108113224448409</v>
      </c>
      <c r="I418" s="10">
        <f t="shared" si="27"/>
        <v>-0.000108113224448409</v>
      </c>
    </row>
    <row r="419" spans="1:9">
      <c r="A419" s="5">
        <v>46184</v>
      </c>
      <c r="B419" s="6">
        <v>0.0533</v>
      </c>
      <c r="C419" s="7">
        <f t="shared" si="24"/>
        <v>0.0533</v>
      </c>
      <c r="D419" s="7">
        <f t="shared" si="25"/>
        <v>0</v>
      </c>
      <c r="H419" s="10">
        <f t="shared" si="26"/>
        <v>0.000108113224448409</v>
      </c>
      <c r="I419" s="10">
        <f t="shared" si="27"/>
        <v>-0.000108113224448409</v>
      </c>
    </row>
    <row r="420" spans="1:9">
      <c r="A420" s="5">
        <v>46185</v>
      </c>
      <c r="B420" s="6">
        <v>0.0533</v>
      </c>
      <c r="C420" s="7">
        <f t="shared" si="24"/>
        <v>0.0533</v>
      </c>
      <c r="D420" s="7">
        <f t="shared" si="25"/>
        <v>0</v>
      </c>
      <c r="H420" s="10">
        <f t="shared" si="26"/>
        <v>0.000108113224448409</v>
      </c>
      <c r="I420" s="10">
        <f t="shared" si="27"/>
        <v>-0.000108113224448409</v>
      </c>
    </row>
    <row r="421" spans="1:9">
      <c r="A421" s="5">
        <v>46188</v>
      </c>
      <c r="B421" s="6">
        <v>0.0533</v>
      </c>
      <c r="C421" s="7">
        <f t="shared" si="24"/>
        <v>0.0533</v>
      </c>
      <c r="D421" s="7">
        <f t="shared" si="25"/>
        <v>0</v>
      </c>
      <c r="H421" s="10">
        <f t="shared" si="26"/>
        <v>0.000108113224448409</v>
      </c>
      <c r="I421" s="10">
        <f t="shared" si="27"/>
        <v>-0.000108113224448409</v>
      </c>
    </row>
    <row r="422" spans="1:9">
      <c r="A422" s="5">
        <v>46189</v>
      </c>
      <c r="B422" s="6">
        <v>0.0542</v>
      </c>
      <c r="C422" s="7">
        <f t="shared" si="24"/>
        <v>0.0533</v>
      </c>
      <c r="D422" s="7">
        <f t="shared" si="25"/>
        <v>0.000899999999999998</v>
      </c>
      <c r="H422" s="10">
        <f t="shared" si="26"/>
        <v>0.000108113224448409</v>
      </c>
      <c r="I422" s="10">
        <f t="shared" si="27"/>
        <v>0.000791886775551589</v>
      </c>
    </row>
    <row r="423" spans="1:9">
      <c r="A423" s="5">
        <v>46190</v>
      </c>
      <c r="B423" s="6">
        <v>0.054</v>
      </c>
      <c r="C423" s="7">
        <f t="shared" si="24"/>
        <v>0.0542</v>
      </c>
      <c r="D423" s="7">
        <f t="shared" si="25"/>
        <v>-0.000199999999999999</v>
      </c>
      <c r="H423" s="10">
        <f t="shared" si="26"/>
        <v>7.77004297281415e-5</v>
      </c>
      <c r="I423" s="10">
        <f t="shared" si="27"/>
        <v>-0.00027770042972814</v>
      </c>
    </row>
    <row r="424" spans="1:9">
      <c r="A424" s="5">
        <v>46191</v>
      </c>
      <c r="B424" s="6">
        <v>0.0541</v>
      </c>
      <c r="C424" s="7">
        <f t="shared" si="24"/>
        <v>0.054</v>
      </c>
      <c r="D424" s="7">
        <f t="shared" si="25"/>
        <v>0.000100000000000003</v>
      </c>
      <c r="H424" s="10">
        <f t="shared" si="26"/>
        <v>8.44588285548677e-5</v>
      </c>
      <c r="I424" s="10">
        <f t="shared" si="27"/>
        <v>1.55411714451352e-5</v>
      </c>
    </row>
    <row r="425" spans="1:9">
      <c r="A425" s="5">
        <v>46192</v>
      </c>
      <c r="B425" s="6">
        <v>0.054</v>
      </c>
      <c r="C425" s="7">
        <f t="shared" si="24"/>
        <v>0.0541</v>
      </c>
      <c r="D425" s="7">
        <f t="shared" si="25"/>
        <v>-0.000100000000000003</v>
      </c>
      <c r="H425" s="10">
        <f t="shared" si="26"/>
        <v>8.10796291415045e-5</v>
      </c>
      <c r="I425" s="10">
        <f t="shared" si="27"/>
        <v>-0.000181079629141507</v>
      </c>
    </row>
    <row r="426" spans="1:9">
      <c r="A426" s="5">
        <v>46195</v>
      </c>
      <c r="B426" s="6">
        <v>0.0538</v>
      </c>
      <c r="C426" s="7">
        <f t="shared" si="24"/>
        <v>0.054</v>
      </c>
      <c r="D426" s="7">
        <f t="shared" si="25"/>
        <v>-0.000199999999999999</v>
      </c>
      <c r="H426" s="10">
        <f t="shared" si="26"/>
        <v>8.44588285548677e-5</v>
      </c>
      <c r="I426" s="10">
        <f t="shared" si="27"/>
        <v>-0.000284458828554866</v>
      </c>
    </row>
    <row r="427" spans="1:9">
      <c r="A427" s="5">
        <v>46196</v>
      </c>
      <c r="B427" s="6">
        <v>0.0544</v>
      </c>
      <c r="C427" s="7">
        <f t="shared" si="24"/>
        <v>0.0538</v>
      </c>
      <c r="D427" s="7">
        <f t="shared" si="25"/>
        <v>0.000599999999999996</v>
      </c>
      <c r="H427" s="10">
        <f t="shared" si="26"/>
        <v>9.12172273815938e-5</v>
      </c>
      <c r="I427" s="10">
        <f t="shared" si="27"/>
        <v>0.000508782772618403</v>
      </c>
    </row>
    <row r="428" spans="1:9">
      <c r="A428" s="5">
        <v>46197</v>
      </c>
      <c r="B428" s="6">
        <v>0.0543</v>
      </c>
      <c r="C428" s="7">
        <f t="shared" si="24"/>
        <v>0.0544</v>
      </c>
      <c r="D428" s="7">
        <f t="shared" si="25"/>
        <v>-9.99999999999959e-5</v>
      </c>
      <c r="H428" s="10">
        <f t="shared" si="26"/>
        <v>7.09420309014154e-5</v>
      </c>
      <c r="I428" s="10">
        <f t="shared" si="27"/>
        <v>-0.000170942030901411</v>
      </c>
    </row>
    <row r="429" spans="1:9">
      <c r="A429" s="5">
        <v>46198</v>
      </c>
      <c r="B429" s="6">
        <v>0.0543</v>
      </c>
      <c r="C429" s="7">
        <f t="shared" si="24"/>
        <v>0.0543</v>
      </c>
      <c r="D429" s="7">
        <f t="shared" si="25"/>
        <v>0</v>
      </c>
      <c r="H429" s="10">
        <f t="shared" si="26"/>
        <v>7.43212303147783e-5</v>
      </c>
      <c r="I429" s="10">
        <f t="shared" si="27"/>
        <v>-7.43212303147783e-5</v>
      </c>
    </row>
    <row r="430" spans="1:9">
      <c r="A430" s="5">
        <v>46202</v>
      </c>
      <c r="B430" s="6">
        <v>0.0543</v>
      </c>
      <c r="C430" s="7">
        <f t="shared" si="24"/>
        <v>0.0543</v>
      </c>
      <c r="D430" s="7">
        <f t="shared" si="25"/>
        <v>0</v>
      </c>
      <c r="H430" s="10">
        <f t="shared" si="26"/>
        <v>7.43212303147783e-5</v>
      </c>
      <c r="I430" s="10">
        <f t="shared" si="27"/>
        <v>-7.43212303147783e-5</v>
      </c>
    </row>
    <row r="431" spans="1:9">
      <c r="A431" s="5">
        <v>46203</v>
      </c>
      <c r="B431" s="6">
        <v>0.055</v>
      </c>
      <c r="C431" s="7">
        <f t="shared" si="24"/>
        <v>0.0543</v>
      </c>
      <c r="D431" s="7">
        <f t="shared" si="25"/>
        <v>0.000699999999999999</v>
      </c>
      <c r="H431" s="10">
        <f t="shared" si="26"/>
        <v>7.43212303147783e-5</v>
      </c>
      <c r="I431" s="10">
        <f t="shared" si="27"/>
        <v>0.000625678769685221</v>
      </c>
    </row>
    <row r="432" spans="1:9">
      <c r="A432" s="5">
        <v>46204</v>
      </c>
      <c r="B432" s="6">
        <v>0.0531</v>
      </c>
      <c r="C432" s="7">
        <f t="shared" si="24"/>
        <v>0.055</v>
      </c>
      <c r="D432" s="7">
        <f t="shared" si="25"/>
        <v>-0.0019</v>
      </c>
      <c r="H432" s="10">
        <f t="shared" si="26"/>
        <v>5.0666834421237e-5</v>
      </c>
      <c r="I432" s="10">
        <f t="shared" si="27"/>
        <v>-0.00195066683442124</v>
      </c>
    </row>
    <row r="433" spans="1:9">
      <c r="A433" s="5">
        <v>46205</v>
      </c>
      <c r="B433" s="6">
        <v>0.0533</v>
      </c>
      <c r="C433" s="7">
        <f t="shared" si="24"/>
        <v>0.0531</v>
      </c>
      <c r="D433" s="7">
        <f t="shared" si="25"/>
        <v>0.000199999999999999</v>
      </c>
      <c r="H433" s="10">
        <f t="shared" si="26"/>
        <v>0.000114871623275135</v>
      </c>
      <c r="I433" s="10">
        <f t="shared" si="27"/>
        <v>8.51283767248636e-5</v>
      </c>
    </row>
    <row r="434" spans="1:9">
      <c r="A434" s="5">
        <v>46206</v>
      </c>
      <c r="B434" s="6">
        <v>0.0533</v>
      </c>
      <c r="C434" s="7">
        <f t="shared" si="24"/>
        <v>0.0533</v>
      </c>
      <c r="D434" s="7">
        <f t="shared" si="25"/>
        <v>0</v>
      </c>
      <c r="H434" s="10">
        <f t="shared" si="26"/>
        <v>0.000108113224448409</v>
      </c>
      <c r="I434" s="10">
        <f t="shared" si="27"/>
        <v>-0.000108113224448409</v>
      </c>
    </row>
    <row r="435" spans="1:9">
      <c r="A435" s="5">
        <v>46209</v>
      </c>
      <c r="B435" s="6">
        <v>0.0529</v>
      </c>
      <c r="C435" s="7">
        <f t="shared" si="24"/>
        <v>0.0533</v>
      </c>
      <c r="D435" s="7">
        <f t="shared" si="25"/>
        <v>-0.000399999999999998</v>
      </c>
      <c r="H435" s="10">
        <f t="shared" si="26"/>
        <v>0.000108113224448409</v>
      </c>
      <c r="I435" s="10">
        <f t="shared" si="27"/>
        <v>-0.000508113224448407</v>
      </c>
    </row>
    <row r="436" spans="1:9">
      <c r="A436" s="5">
        <v>46210</v>
      </c>
      <c r="B436" s="6">
        <v>0.0529</v>
      </c>
      <c r="C436" s="7">
        <f t="shared" si="24"/>
        <v>0.0529</v>
      </c>
      <c r="D436" s="7">
        <f t="shared" si="25"/>
        <v>0</v>
      </c>
      <c r="H436" s="10">
        <f t="shared" si="26"/>
        <v>0.000121630022101861</v>
      </c>
      <c r="I436" s="10">
        <f t="shared" si="27"/>
        <v>-0.000121630022101861</v>
      </c>
    </row>
    <row r="437" spans="1:9">
      <c r="A437" s="5">
        <v>46211</v>
      </c>
      <c r="B437" s="6">
        <v>0.053</v>
      </c>
      <c r="C437" s="7">
        <f t="shared" si="24"/>
        <v>0.0529</v>
      </c>
      <c r="D437" s="7">
        <f t="shared" si="25"/>
        <v>9.99999999999959e-5</v>
      </c>
      <c r="H437" s="10">
        <f t="shared" si="26"/>
        <v>0.000121630022101861</v>
      </c>
      <c r="I437" s="10">
        <f t="shared" si="27"/>
        <v>-2.16300221018654e-5</v>
      </c>
    </row>
    <row r="438" spans="1:9">
      <c r="A438" s="5">
        <v>46212</v>
      </c>
      <c r="B438" s="6">
        <v>0.054</v>
      </c>
      <c r="C438" s="7">
        <f t="shared" si="24"/>
        <v>0.053</v>
      </c>
      <c r="D438" s="7">
        <f t="shared" si="25"/>
        <v>0.001</v>
      </c>
      <c r="H438" s="10">
        <f t="shared" si="26"/>
        <v>0.000118250822688498</v>
      </c>
      <c r="I438" s="10">
        <f t="shared" si="27"/>
        <v>0.000881749177311503</v>
      </c>
    </row>
    <row r="439" spans="1:9">
      <c r="A439" s="5">
        <v>46213</v>
      </c>
      <c r="B439" s="6">
        <v>0.0539</v>
      </c>
      <c r="C439" s="7">
        <f t="shared" si="24"/>
        <v>0.054</v>
      </c>
      <c r="D439" s="7">
        <f t="shared" si="25"/>
        <v>-9.99999999999959e-5</v>
      </c>
      <c r="H439" s="10">
        <f t="shared" si="26"/>
        <v>8.44588285548677e-5</v>
      </c>
      <c r="I439" s="10">
        <f t="shared" si="27"/>
        <v>-0.000184458828554864</v>
      </c>
    </row>
    <row r="440" spans="1:9">
      <c r="A440" s="5">
        <v>46216</v>
      </c>
      <c r="B440" s="6">
        <v>0.0534</v>
      </c>
      <c r="C440" s="7">
        <f t="shared" si="24"/>
        <v>0.0539</v>
      </c>
      <c r="D440" s="7">
        <f t="shared" si="25"/>
        <v>-0.0005</v>
      </c>
      <c r="H440" s="10">
        <f t="shared" si="26"/>
        <v>8.78380279682306e-5</v>
      </c>
      <c r="I440" s="10">
        <f t="shared" si="27"/>
        <v>-0.000587838027968231</v>
      </c>
    </row>
    <row r="441" spans="1:9">
      <c r="A441" s="5">
        <v>46217</v>
      </c>
      <c r="B441" s="6">
        <v>0.0527</v>
      </c>
      <c r="C441" s="7">
        <f t="shared" si="24"/>
        <v>0.0534</v>
      </c>
      <c r="D441" s="7">
        <f t="shared" si="25"/>
        <v>-0.000700000000000006</v>
      </c>
      <c r="H441" s="10">
        <f t="shared" si="26"/>
        <v>0.000104734025035046</v>
      </c>
      <c r="I441" s="10">
        <f t="shared" si="27"/>
        <v>-0.000804734025035052</v>
      </c>
    </row>
    <row r="442" spans="1:9">
      <c r="A442" s="5">
        <v>46218</v>
      </c>
      <c r="B442" s="6">
        <v>0.0527</v>
      </c>
      <c r="C442" s="7">
        <f t="shared" si="24"/>
        <v>0.0527</v>
      </c>
      <c r="D442" s="7">
        <f t="shared" si="25"/>
        <v>0</v>
      </c>
      <c r="H442" s="10">
        <f t="shared" si="26"/>
        <v>0.000128388420928588</v>
      </c>
      <c r="I442" s="10">
        <f t="shared" si="27"/>
        <v>-0.000128388420928588</v>
      </c>
    </row>
    <row r="443" spans="1:9">
      <c r="A443" s="5">
        <v>46219</v>
      </c>
      <c r="B443" s="6">
        <v>0.0536</v>
      </c>
      <c r="C443" s="7">
        <f t="shared" si="24"/>
        <v>0.0527</v>
      </c>
      <c r="D443" s="7">
        <f t="shared" si="25"/>
        <v>0.000900000000000005</v>
      </c>
      <c r="H443" s="10">
        <f t="shared" si="26"/>
        <v>0.000128388420928588</v>
      </c>
      <c r="I443" s="10">
        <f t="shared" si="27"/>
        <v>0.000771611579071417</v>
      </c>
    </row>
    <row r="444" spans="1:9">
      <c r="A444" s="5">
        <v>46220</v>
      </c>
      <c r="B444" s="6">
        <v>0.0544</v>
      </c>
      <c r="C444" s="7">
        <f t="shared" si="24"/>
        <v>0.0536</v>
      </c>
      <c r="D444" s="7">
        <f t="shared" si="25"/>
        <v>0.000799999999999995</v>
      </c>
      <c r="H444" s="10">
        <f t="shared" si="26"/>
        <v>9.79756262083197e-5</v>
      </c>
      <c r="I444" s="10">
        <f t="shared" si="27"/>
        <v>0.000702024373791675</v>
      </c>
    </row>
    <row r="445" spans="1:9">
      <c r="A445" s="5">
        <v>46223</v>
      </c>
      <c r="B445" s="6">
        <v>0.0539</v>
      </c>
      <c r="C445" s="7">
        <f t="shared" si="24"/>
        <v>0.0544</v>
      </c>
      <c r="D445" s="7">
        <f t="shared" si="25"/>
        <v>-0.000499999999999994</v>
      </c>
      <c r="H445" s="10">
        <f t="shared" si="26"/>
        <v>7.09420309014154e-5</v>
      </c>
      <c r="I445" s="10">
        <f t="shared" si="27"/>
        <v>-0.000570942030901409</v>
      </c>
    </row>
    <row r="446" spans="1:9">
      <c r="A446" s="5">
        <v>46224</v>
      </c>
      <c r="B446" s="6">
        <v>0.0539</v>
      </c>
      <c r="C446" s="7">
        <f t="shared" si="24"/>
        <v>0.0539</v>
      </c>
      <c r="D446" s="7">
        <f t="shared" si="25"/>
        <v>0</v>
      </c>
      <c r="H446" s="10">
        <f t="shared" si="26"/>
        <v>8.78380279682306e-5</v>
      </c>
      <c r="I446" s="10">
        <f t="shared" si="27"/>
        <v>-8.78380279682306e-5</v>
      </c>
    </row>
    <row r="447" spans="1:9">
      <c r="A447" s="5">
        <v>46225</v>
      </c>
      <c r="B447" s="6">
        <v>0.0544</v>
      </c>
      <c r="C447" s="7">
        <f t="shared" si="24"/>
        <v>0.0539</v>
      </c>
      <c r="D447" s="7">
        <f t="shared" si="25"/>
        <v>0.000499999999999994</v>
      </c>
      <c r="H447" s="10">
        <f t="shared" si="26"/>
        <v>8.78380279682306e-5</v>
      </c>
      <c r="I447" s="10">
        <f t="shared" si="27"/>
        <v>0.000412161972031763</v>
      </c>
    </row>
    <row r="448" spans="1:9">
      <c r="A448" s="5">
        <v>46226</v>
      </c>
      <c r="B448" s="6">
        <v>0.0534</v>
      </c>
      <c r="C448" s="7">
        <f t="shared" si="24"/>
        <v>0.0544</v>
      </c>
      <c r="D448" s="7">
        <f t="shared" si="25"/>
        <v>-0.000999999999999994</v>
      </c>
      <c r="H448" s="10">
        <f t="shared" si="26"/>
        <v>7.09420309014154e-5</v>
      </c>
      <c r="I448" s="10">
        <f t="shared" si="27"/>
        <v>-0.00107094203090141</v>
      </c>
    </row>
    <row r="449" spans="1:9">
      <c r="A449" s="5">
        <v>46227</v>
      </c>
      <c r="B449" s="6">
        <v>0.0514</v>
      </c>
      <c r="C449" s="7">
        <f t="shared" si="24"/>
        <v>0.0534</v>
      </c>
      <c r="D449" s="7">
        <f t="shared" si="25"/>
        <v>-0.002</v>
      </c>
      <c r="H449" s="10">
        <f t="shared" si="26"/>
        <v>0.000104734025035046</v>
      </c>
      <c r="I449" s="10">
        <f t="shared" si="27"/>
        <v>-0.00210473402503505</v>
      </c>
    </row>
    <row r="450" spans="1:9">
      <c r="A450" s="5">
        <v>46230</v>
      </c>
      <c r="B450" s="6">
        <v>0.0525</v>
      </c>
      <c r="C450" s="7">
        <f t="shared" si="24"/>
        <v>0.0514</v>
      </c>
      <c r="D450" s="7">
        <f t="shared" si="25"/>
        <v>0.0011</v>
      </c>
      <c r="H450" s="10">
        <f t="shared" si="26"/>
        <v>0.000172318013302307</v>
      </c>
      <c r="I450" s="10">
        <f t="shared" si="27"/>
        <v>0.000927681986697689</v>
      </c>
    </row>
    <row r="451" spans="1:9">
      <c r="A451" s="5">
        <v>46231</v>
      </c>
      <c r="B451" s="6">
        <v>0.0535</v>
      </c>
      <c r="C451" s="7">
        <f t="shared" ref="C451:C481" si="28">B450</f>
        <v>0.0525</v>
      </c>
      <c r="D451" s="7">
        <f t="shared" ref="D451:D481" si="29">B451-C451</f>
        <v>0.001</v>
      </c>
      <c r="H451" s="10">
        <f t="shared" ref="H451:H481" si="30">$G$10+$G$9*C451</f>
        <v>0.000135146819755314</v>
      </c>
      <c r="I451" s="10">
        <f t="shared" ref="I451:I481" si="31">D451-H451</f>
        <v>0.000864853180244687</v>
      </c>
    </row>
    <row r="452" spans="1:9">
      <c r="A452" s="5">
        <v>46232</v>
      </c>
      <c r="B452" s="6">
        <v>0.0536</v>
      </c>
      <c r="C452" s="7">
        <f t="shared" si="28"/>
        <v>0.0535</v>
      </c>
      <c r="D452" s="7">
        <f t="shared" si="29"/>
        <v>0.000100000000000003</v>
      </c>
      <c r="H452" s="10">
        <f t="shared" si="30"/>
        <v>0.000101354825621683</v>
      </c>
      <c r="I452" s="10">
        <f t="shared" si="31"/>
        <v>-1.35482562168003e-6</v>
      </c>
    </row>
    <row r="453" spans="1:9">
      <c r="A453" s="5">
        <v>46233</v>
      </c>
      <c r="B453" s="6">
        <v>0.0534</v>
      </c>
      <c r="C453" s="7">
        <f t="shared" si="28"/>
        <v>0.0536</v>
      </c>
      <c r="D453" s="7">
        <f t="shared" si="29"/>
        <v>-0.000199999999999999</v>
      </c>
      <c r="H453" s="10">
        <f t="shared" si="30"/>
        <v>9.79756262083197e-5</v>
      </c>
      <c r="I453" s="10">
        <f t="shared" si="31"/>
        <v>-0.000297975626208319</v>
      </c>
    </row>
    <row r="454" spans="1:9">
      <c r="A454" s="5">
        <v>46234</v>
      </c>
      <c r="B454" s="6">
        <v>0.0541</v>
      </c>
      <c r="C454" s="7">
        <f t="shared" si="28"/>
        <v>0.0534</v>
      </c>
      <c r="D454" s="7">
        <f t="shared" si="29"/>
        <v>0.000699999999999999</v>
      </c>
      <c r="H454" s="10">
        <f t="shared" si="30"/>
        <v>0.000104734025035046</v>
      </c>
      <c r="I454" s="10">
        <f t="shared" si="31"/>
        <v>0.000595265974964953</v>
      </c>
    </row>
    <row r="455" spans="1:9">
      <c r="A455" s="5">
        <v>46237</v>
      </c>
      <c r="B455" s="6">
        <v>0.0514</v>
      </c>
      <c r="C455" s="7">
        <f t="shared" si="28"/>
        <v>0.0541</v>
      </c>
      <c r="D455" s="7">
        <f t="shared" si="29"/>
        <v>-0.0027</v>
      </c>
      <c r="H455" s="10">
        <f t="shared" si="30"/>
        <v>8.10796291415045e-5</v>
      </c>
      <c r="I455" s="10">
        <f t="shared" si="31"/>
        <v>-0.00278107962914151</v>
      </c>
    </row>
    <row r="456" spans="1:9">
      <c r="A456" s="5">
        <v>46238</v>
      </c>
      <c r="B456" s="6">
        <v>0.0509</v>
      </c>
      <c r="C456" s="7">
        <f t="shared" si="28"/>
        <v>0.0514</v>
      </c>
      <c r="D456" s="7">
        <f t="shared" si="29"/>
        <v>-0.0005</v>
      </c>
      <c r="H456" s="10">
        <f t="shared" si="30"/>
        <v>0.000172318013302307</v>
      </c>
      <c r="I456" s="10">
        <f t="shared" si="31"/>
        <v>-0.000672318013302308</v>
      </c>
    </row>
    <row r="457" spans="1:9">
      <c r="A457" s="5">
        <v>46239</v>
      </c>
      <c r="B457" s="6">
        <v>0.0509</v>
      </c>
      <c r="C457" s="7">
        <f t="shared" si="28"/>
        <v>0.0509</v>
      </c>
      <c r="D457" s="7">
        <f t="shared" si="29"/>
        <v>0</v>
      </c>
      <c r="H457" s="10">
        <f t="shared" si="30"/>
        <v>0.000189214010369123</v>
      </c>
      <c r="I457" s="10">
        <f t="shared" si="31"/>
        <v>-0.000189214010369123</v>
      </c>
    </row>
    <row r="458" spans="1:9">
      <c r="A458" s="5">
        <v>46240</v>
      </c>
      <c r="B458" s="6">
        <v>0.0524</v>
      </c>
      <c r="C458" s="7">
        <f t="shared" si="28"/>
        <v>0.0509</v>
      </c>
      <c r="D458" s="7">
        <f t="shared" si="29"/>
        <v>0.0015</v>
      </c>
      <c r="H458" s="10">
        <f t="shared" si="30"/>
        <v>0.000189214010369123</v>
      </c>
      <c r="I458" s="10">
        <f t="shared" si="31"/>
        <v>0.00131078598963088</v>
      </c>
    </row>
    <row r="459" spans="1:9">
      <c r="A459" s="5">
        <v>46241</v>
      </c>
      <c r="B459" s="6">
        <v>0.0514</v>
      </c>
      <c r="C459" s="7">
        <f t="shared" si="28"/>
        <v>0.0524</v>
      </c>
      <c r="D459" s="7">
        <f t="shared" si="29"/>
        <v>-0.001</v>
      </c>
      <c r="H459" s="10">
        <f t="shared" si="30"/>
        <v>0.000138526019168677</v>
      </c>
      <c r="I459" s="10">
        <f t="shared" si="31"/>
        <v>-0.00113852601916868</v>
      </c>
    </row>
    <row r="460" spans="1:9">
      <c r="A460" s="5">
        <v>46244</v>
      </c>
      <c r="B460" s="6">
        <v>0.0513</v>
      </c>
      <c r="C460" s="7">
        <f t="shared" si="28"/>
        <v>0.0514</v>
      </c>
      <c r="D460" s="7">
        <f t="shared" si="29"/>
        <v>-0.000100000000000003</v>
      </c>
      <c r="H460" s="10">
        <f t="shared" si="30"/>
        <v>0.000172318013302307</v>
      </c>
      <c r="I460" s="10">
        <f t="shared" si="31"/>
        <v>-0.00027231801330231</v>
      </c>
    </row>
    <row r="461" spans="1:9">
      <c r="A461" s="5">
        <v>46245</v>
      </c>
      <c r="B461" s="6">
        <v>0.0513</v>
      </c>
      <c r="C461" s="7">
        <f t="shared" si="28"/>
        <v>0.0513</v>
      </c>
      <c r="D461" s="7">
        <f t="shared" si="29"/>
        <v>0</v>
      </c>
      <c r="H461" s="10">
        <f t="shared" si="30"/>
        <v>0.000175697212715671</v>
      </c>
      <c r="I461" s="10">
        <f t="shared" si="31"/>
        <v>-0.000175697212715671</v>
      </c>
    </row>
    <row r="462" spans="1:9">
      <c r="A462" s="5">
        <v>46246</v>
      </c>
      <c r="B462" s="6">
        <v>0.0514</v>
      </c>
      <c r="C462" s="7">
        <f t="shared" si="28"/>
        <v>0.0513</v>
      </c>
      <c r="D462" s="7">
        <f t="shared" si="29"/>
        <v>0.000100000000000003</v>
      </c>
      <c r="H462" s="10">
        <f t="shared" si="30"/>
        <v>0.000175697212715671</v>
      </c>
      <c r="I462" s="10">
        <f t="shared" si="31"/>
        <v>-7.56972127156678e-5</v>
      </c>
    </row>
    <row r="463" spans="1:9">
      <c r="A463" s="5">
        <v>46247</v>
      </c>
      <c r="B463" s="6">
        <v>0.0524</v>
      </c>
      <c r="C463" s="7">
        <f t="shared" si="28"/>
        <v>0.0514</v>
      </c>
      <c r="D463" s="7">
        <f t="shared" si="29"/>
        <v>0.001</v>
      </c>
      <c r="H463" s="10">
        <f t="shared" si="30"/>
        <v>0.000172318013302307</v>
      </c>
      <c r="I463" s="10">
        <f t="shared" si="31"/>
        <v>0.000827681986697693</v>
      </c>
    </row>
    <row r="464" spans="1:9">
      <c r="A464" s="5">
        <v>46248</v>
      </c>
      <c r="B464" s="6">
        <v>0.0528</v>
      </c>
      <c r="C464" s="7">
        <f t="shared" si="28"/>
        <v>0.0524</v>
      </c>
      <c r="D464" s="7">
        <f t="shared" si="29"/>
        <v>0.000399999999999998</v>
      </c>
      <c r="H464" s="10">
        <f t="shared" si="30"/>
        <v>0.000138526019168677</v>
      </c>
      <c r="I464" s="10">
        <f t="shared" si="31"/>
        <v>0.000261473980831321</v>
      </c>
    </row>
    <row r="465" spans="1:9">
      <c r="A465" s="5">
        <v>46251</v>
      </c>
      <c r="B465" s="6">
        <v>0.0524</v>
      </c>
      <c r="C465" s="7">
        <f t="shared" si="28"/>
        <v>0.0528</v>
      </c>
      <c r="D465" s="7">
        <f t="shared" si="29"/>
        <v>-0.000399999999999998</v>
      </c>
      <c r="H465" s="10">
        <f t="shared" si="30"/>
        <v>0.000125009221515224</v>
      </c>
      <c r="I465" s="10">
        <f t="shared" si="31"/>
        <v>-0.000525009221515222</v>
      </c>
    </row>
    <row r="466" spans="1:9">
      <c r="A466" s="5">
        <v>46252</v>
      </c>
      <c r="B466" s="6">
        <v>0.0516</v>
      </c>
      <c r="C466" s="7">
        <f t="shared" si="28"/>
        <v>0.0524</v>
      </c>
      <c r="D466" s="7">
        <f t="shared" si="29"/>
        <v>-0.000800000000000002</v>
      </c>
      <c r="H466" s="10">
        <f t="shared" si="30"/>
        <v>0.000138526019168677</v>
      </c>
      <c r="I466" s="10">
        <f t="shared" si="31"/>
        <v>-0.000938526019168679</v>
      </c>
    </row>
    <row r="467" spans="1:9">
      <c r="A467" s="5">
        <v>46253</v>
      </c>
      <c r="B467" s="6">
        <v>0.0519</v>
      </c>
      <c r="C467" s="7">
        <f t="shared" si="28"/>
        <v>0.0516</v>
      </c>
      <c r="D467" s="7">
        <f t="shared" si="29"/>
        <v>0.000300000000000002</v>
      </c>
      <c r="H467" s="10">
        <f t="shared" si="30"/>
        <v>0.000165559614475581</v>
      </c>
      <c r="I467" s="10">
        <f t="shared" si="31"/>
        <v>0.00013444038552442</v>
      </c>
    </row>
    <row r="468" spans="1:9">
      <c r="A468" s="5">
        <v>46254</v>
      </c>
      <c r="B468" s="6">
        <v>0.0519</v>
      </c>
      <c r="C468" s="7">
        <f t="shared" si="28"/>
        <v>0.0519</v>
      </c>
      <c r="D468" s="7">
        <f t="shared" si="29"/>
        <v>0</v>
      </c>
      <c r="H468" s="10">
        <f t="shared" si="30"/>
        <v>0.000155422016235492</v>
      </c>
      <c r="I468" s="10">
        <f t="shared" si="31"/>
        <v>-0.000155422016235492</v>
      </c>
    </row>
    <row r="469" spans="1:9">
      <c r="A469" s="5">
        <v>46255</v>
      </c>
      <c r="B469" s="6">
        <v>0.0523</v>
      </c>
      <c r="C469" s="7">
        <f t="shared" si="28"/>
        <v>0.0519</v>
      </c>
      <c r="D469" s="7">
        <f t="shared" si="29"/>
        <v>0.000399999999999998</v>
      </c>
      <c r="H469" s="10">
        <f t="shared" si="30"/>
        <v>0.000155422016235492</v>
      </c>
      <c r="I469" s="10">
        <f t="shared" si="31"/>
        <v>0.000244577983764506</v>
      </c>
    </row>
    <row r="470" spans="1:9">
      <c r="A470" s="5">
        <v>46258</v>
      </c>
      <c r="B470" s="6">
        <v>0.0524</v>
      </c>
      <c r="C470" s="7">
        <f t="shared" si="28"/>
        <v>0.0523</v>
      </c>
      <c r="D470" s="7">
        <f t="shared" si="29"/>
        <v>0.000100000000000003</v>
      </c>
      <c r="H470" s="10">
        <f t="shared" si="30"/>
        <v>0.00014190521858204</v>
      </c>
      <c r="I470" s="10">
        <f t="shared" si="31"/>
        <v>-4.19052185820369e-5</v>
      </c>
    </row>
    <row r="471" spans="1:9">
      <c r="A471" s="5">
        <v>46259</v>
      </c>
      <c r="B471" s="6">
        <v>0.0522</v>
      </c>
      <c r="C471" s="7">
        <f t="shared" si="28"/>
        <v>0.0524</v>
      </c>
      <c r="D471" s="7">
        <f t="shared" si="29"/>
        <v>-0.000199999999999999</v>
      </c>
      <c r="H471" s="10">
        <f t="shared" si="30"/>
        <v>0.000138526019168677</v>
      </c>
      <c r="I471" s="10">
        <f t="shared" si="31"/>
        <v>-0.000338526019168675</v>
      </c>
    </row>
    <row r="472" spans="1:9">
      <c r="A472" s="5">
        <v>46261</v>
      </c>
      <c r="B472" s="6">
        <v>0.0524</v>
      </c>
      <c r="C472" s="7">
        <f t="shared" si="28"/>
        <v>0.0522</v>
      </c>
      <c r="D472" s="7">
        <f t="shared" si="29"/>
        <v>0.000199999999999999</v>
      </c>
      <c r="H472" s="10">
        <f t="shared" si="30"/>
        <v>0.000145284417995403</v>
      </c>
      <c r="I472" s="10">
        <f t="shared" si="31"/>
        <v>5.47155820045961e-5</v>
      </c>
    </row>
    <row r="473" spans="1:9">
      <c r="A473" s="5">
        <v>46262</v>
      </c>
      <c r="B473" s="6">
        <v>0.0524</v>
      </c>
      <c r="C473" s="7">
        <f t="shared" si="28"/>
        <v>0.0524</v>
      </c>
      <c r="D473" s="7">
        <f t="shared" si="29"/>
        <v>0</v>
      </c>
      <c r="H473" s="10">
        <f t="shared" si="30"/>
        <v>0.000138526019168677</v>
      </c>
      <c r="I473" s="10">
        <f t="shared" si="31"/>
        <v>-0.000138526019168677</v>
      </c>
    </row>
    <row r="474" spans="1:9">
      <c r="A474" s="5">
        <v>46265</v>
      </c>
      <c r="B474" s="6">
        <v>0.0524</v>
      </c>
      <c r="C474" s="7">
        <f t="shared" si="28"/>
        <v>0.0524</v>
      </c>
      <c r="D474" s="7">
        <f t="shared" si="29"/>
        <v>0</v>
      </c>
      <c r="H474" s="10">
        <f t="shared" si="30"/>
        <v>0.000138526019168677</v>
      </c>
      <c r="I474" s="10">
        <f t="shared" si="31"/>
        <v>-0.000138526019168677</v>
      </c>
    </row>
    <row r="475" spans="1:9">
      <c r="A475" s="5">
        <v>46266</v>
      </c>
      <c r="B475" s="6">
        <v>0.0523</v>
      </c>
      <c r="C475" s="7">
        <f t="shared" si="28"/>
        <v>0.0524</v>
      </c>
      <c r="D475" s="7">
        <f t="shared" si="29"/>
        <v>-0.000100000000000003</v>
      </c>
      <c r="H475" s="10">
        <f t="shared" si="30"/>
        <v>0.000138526019168677</v>
      </c>
      <c r="I475" s="10">
        <f t="shared" si="31"/>
        <v>-0.000238526019168679</v>
      </c>
    </row>
    <row r="476" spans="1:9">
      <c r="A476" s="5">
        <v>46267</v>
      </c>
      <c r="B476" s="6">
        <v>0.0508</v>
      </c>
      <c r="C476" s="7">
        <f t="shared" si="28"/>
        <v>0.0523</v>
      </c>
      <c r="D476" s="7">
        <f t="shared" si="29"/>
        <v>-0.0015</v>
      </c>
      <c r="H476" s="10">
        <f t="shared" si="30"/>
        <v>0.00014190521858204</v>
      </c>
      <c r="I476" s="10">
        <f t="shared" si="31"/>
        <v>-0.00164190521858204</v>
      </c>
    </row>
    <row r="477" spans="1:9">
      <c r="A477" s="5">
        <v>46268</v>
      </c>
      <c r="B477" s="6">
        <v>0.0501</v>
      </c>
      <c r="C477" s="7">
        <f t="shared" si="28"/>
        <v>0.0508</v>
      </c>
      <c r="D477" s="7">
        <f t="shared" si="29"/>
        <v>-0.000699999999999999</v>
      </c>
      <c r="H477" s="10">
        <f t="shared" si="30"/>
        <v>0.000192593209782486</v>
      </c>
      <c r="I477" s="10">
        <f t="shared" si="31"/>
        <v>-0.000892593209782485</v>
      </c>
    </row>
    <row r="478" spans="1:9">
      <c r="A478" s="5">
        <v>46269</v>
      </c>
      <c r="B478" s="6">
        <v>0.0491</v>
      </c>
      <c r="C478" s="7">
        <f t="shared" si="28"/>
        <v>0.0501</v>
      </c>
      <c r="D478" s="7">
        <f t="shared" si="29"/>
        <v>-0.001</v>
      </c>
      <c r="H478" s="10">
        <f t="shared" si="30"/>
        <v>0.000216247605676027</v>
      </c>
      <c r="I478" s="10">
        <f t="shared" si="31"/>
        <v>-0.00121624760567603</v>
      </c>
    </row>
    <row r="479" spans="1:9">
      <c r="A479" s="5">
        <v>46272</v>
      </c>
      <c r="B479" s="6">
        <v>0.0503</v>
      </c>
      <c r="C479" s="7">
        <f t="shared" si="28"/>
        <v>0.0491</v>
      </c>
      <c r="D479" s="7">
        <f t="shared" si="29"/>
        <v>0.0012</v>
      </c>
      <c r="H479" s="10">
        <f t="shared" si="30"/>
        <v>0.000250039599809658</v>
      </c>
      <c r="I479" s="10">
        <f t="shared" si="31"/>
        <v>0.000949960400190341</v>
      </c>
    </row>
    <row r="480" spans="1:9">
      <c r="A480" s="5">
        <v>46273</v>
      </c>
      <c r="B480" s="6">
        <v>0.0503</v>
      </c>
      <c r="C480" s="7">
        <f t="shared" si="28"/>
        <v>0.0503</v>
      </c>
      <c r="D480" s="7">
        <f t="shared" si="29"/>
        <v>0</v>
      </c>
      <c r="H480" s="10">
        <f t="shared" si="30"/>
        <v>0.000209489206849301</v>
      </c>
      <c r="I480" s="10">
        <f t="shared" si="31"/>
        <v>-0.000209489206849301</v>
      </c>
    </row>
    <row r="481" spans="1:9">
      <c r="A481" s="5">
        <v>46274</v>
      </c>
      <c r="B481" s="6">
        <v>0.0504</v>
      </c>
      <c r="C481" s="7">
        <f t="shared" si="28"/>
        <v>0.0503</v>
      </c>
      <c r="D481" s="7">
        <f t="shared" si="29"/>
        <v>0.000100000000000003</v>
      </c>
      <c r="H481" s="10">
        <f t="shared" si="30"/>
        <v>0.000209489206849301</v>
      </c>
      <c r="I481" s="10">
        <f t="shared" si="31"/>
        <v>-0.000109489206849298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Vasicek 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Naresh Yadav</cp:lastModifiedBy>
  <cp:revision>0</cp:revision>
  <dcterms:created xsi:type="dcterms:W3CDTF">2026-09-17T12:48:00Z</dcterms:created>
  <dcterms:modified xsi:type="dcterms:W3CDTF">2026-09-30T08:24:13Z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CB84ACB200FC4D5285A09101B22C2B5C_13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