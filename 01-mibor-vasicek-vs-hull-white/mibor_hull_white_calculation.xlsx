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llWhi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<sst xmlns="http://schemas.openxmlformats.org/spreadsheetml/2006/main" count="38" uniqueCount="38">
  <si>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Date</t>
  </si>
  <si>
    <t xml:space="preserve">Indian Mibor Rate r(t)</t>
  </si>
  <si>
    <t xml:space="preserve">Prev Rate r(t-1)</t>
  </si>
  <si>
    <t xml:space="preserve">Delta r = r(t)-r(t-1)</t>
  </si>
  <si>
    <t xml:space="preserve">STEP-BY-STEP PARAMETER CALCULATION — HULL-WHITE MODEL</t>
  </si>
  <si>
    <t xml:space="preserve">Fitted Delta r</t>
  </si>
  <si>
    <t xml:space="preserve">Residual</t>
  </si>
  <si>
    <t xml:space="preserve">Theta_raw(t-1)</t>
  </si>
  <si>
    <t xml:space="preserve">t (years since start)</t>
  </si>
  <si>
    <t xml:space="preserve">Theta_smooth (60-day avg)</t>
  </si>
  <si>
    <t xml:space="preserve">Number of data points (n)</t>
  </si>
  <si>
    <t xml:space="preserve">Data frequency</t>
  </si>
  <si>
    <t xml:space="preserve">Daily</t>
  </si>
  <si>
    <t xml:space="preserve">dt (time step, 1/365)</t>
  </si>
  <si>
    <t xml:space="preserve">STEP 2: Regression  Δr = a + b·r(t-1)</t>
  </si>
  <si>
    <t xml:space="preserve">Slope (b)</t>
  </si>
  <si>
    <t xml:space="preserve">Intercept (a)</t>
  </si>
  <si>
    <t xml:space="preserve">STEP 3: kappa = -b / dt</t>
  </si>
  <si>
    <t xml:space="preserve">STEP 4: theta_const (Vasicek reference only — NOT used for HW forecast)</t>
  </si>
  <si>
    <t xml:space="preserve">Sanity check: AVERAGE(rate)</t>
  </si>
  <si>
    <t xml:space="preserve">STEP 5: STDEV of residuals (daily)</t>
  </si>
  <si>
    <t xml:space="preserve">sigma = STDEV(residuals) / SQRT(dt)</t>
  </si>
  <si>
    <t xml:space="preserve">r0 = last observed rate r(t)</t>
  </si>
  <si>
    <t xml:space="preserve">STEP 6 (Hull-White): time-varying theta(t)</t>
  </si>
  <si>
    <t xml:space="preserve">Rolling window (trading days)</t>
  </si>
  <si>
    <t xml:space="preserve">theta_raw(t-1) = r(t-1) + Δr(t) / (kappa·dt)   [see column J]</t>
  </si>
  <si>
    <t xml:space="preserve">STEP 7: Linear trend fit of theta_smooth (full 2-year window)</t>
  </si>
  <si>
    <t xml:space="preserve">Window used (rows)</t>
  </si>
  <si>
    <t xml:space="preserve">K62:K481</t>
  </si>
  <si>
    <t xml:space="preserve">theta1_r  (slope, per year)</t>
  </si>
  <si>
    <t xml:space="preserve">theta0_r  (intercept)</t>
  </si>
  <si>
    <t xml:space="preserve">t_last (years since start of data)</t>
  </si>
  <si>
    <t xml:space="preserve">theta(t_last) = theta0_r + theta1_r·t_last</t>
  </si>
  <si>
    <t xml:space="preserve">FORECAST — Hull-White closed-form expectation</t>
  </si>
  <si>
    <t xml:space="preserve">E[r(T)] = r0·e^(-κT) + θ(t_last)·(1-e^(-κT)) + θ1_r·[T - (1-e^(-κT))/κ]</t>
  </si>
  <si>
    <t xml:space="preserve">T (years)</t>
  </si>
  <si>
    <t xml:space="preserve">E[r(T)] forecast</t>
  </si>
  <si>
    <t xml:space="preserve">Note: kappa/sigma calibrated via OLS regression on the full 2-yr daily data (Hull-White mean-reversion part, same method as Vasicek). phi(t) = theta(t)/a is time-varying (unlike Vasicek's constant theta) and is backed out from the discretized SDE, smoothed with a 60-day rolling average, then trend-fitted using the FULL 2-year history (all 480 data points) so the forecast is consistent with the same 2-year calibration window used for kappa and sigma.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</si>
</sst>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0.0000"/>
    <numFmt numFmtId="167" formatCode="0"/>
    <numFmt numFmtId="168" formatCode="0.00000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Indian MIBOR: Observed Rate vs Smoothed Theta(t)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HullWhite!B1</c:f>
              <c:strCache>
                <c:ptCount val="1"/>
                <c:pt idx="0">
                  <c:v>Indian Mibor Rate r(t)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HullWhite!$A$2:$A$481</c:f>
              <c:strCache>
                <c:ptCount val="480"/>
                <c:pt idx="0">
                  <c:v>16-Sep-24</c:v>
                </c:pt>
                <c:pt idx="1">
                  <c:v>17-Sep-24</c:v>
                </c:pt>
                <c:pt idx="2">
                  <c:v>19-Sep-24</c:v>
                </c:pt>
                <c:pt idx="3">
                  <c:v>20-Sep-24</c:v>
                </c:pt>
                <c:pt idx="4">
                  <c:v>23-Sep-24</c:v>
                </c:pt>
                <c:pt idx="5">
                  <c:v>24-Sep-24</c:v>
                </c:pt>
                <c:pt idx="6">
                  <c:v>25-Sep-24</c:v>
                </c:pt>
                <c:pt idx="7">
                  <c:v>26-Sep-24</c:v>
                </c:pt>
                <c:pt idx="8">
                  <c:v>27-Sep-24</c:v>
                </c:pt>
                <c:pt idx="9">
                  <c:v>30-Sep-24</c:v>
                </c:pt>
                <c:pt idx="10">
                  <c:v>01-Oct-24</c:v>
                </c:pt>
                <c:pt idx="11">
                  <c:v>03-Oct-24</c:v>
                </c:pt>
                <c:pt idx="12">
                  <c:v>04-Oct-24</c:v>
                </c:pt>
                <c:pt idx="13">
                  <c:v>07-Oct-24</c:v>
                </c:pt>
                <c:pt idx="14">
                  <c:v>08-Oct-24</c:v>
                </c:pt>
                <c:pt idx="15">
                  <c:v>09-Oct-24</c:v>
                </c:pt>
                <c:pt idx="16">
                  <c:v>10-Oct-24</c:v>
                </c:pt>
                <c:pt idx="17">
                  <c:v>11-Oct-24</c:v>
                </c:pt>
                <c:pt idx="18">
                  <c:v>14-Oct-24</c:v>
                </c:pt>
                <c:pt idx="19">
                  <c:v>15-Oct-24</c:v>
                </c:pt>
                <c:pt idx="20">
                  <c:v>16-Oct-24</c:v>
                </c:pt>
                <c:pt idx="21">
                  <c:v>17-Oct-24</c:v>
                </c:pt>
                <c:pt idx="22">
                  <c:v>18-Oct-24</c:v>
                </c:pt>
                <c:pt idx="23">
                  <c:v>21-Oct-24</c:v>
                </c:pt>
                <c:pt idx="24">
                  <c:v>22-Oct-24</c:v>
                </c:pt>
                <c:pt idx="25">
                  <c:v>23-Oct-24</c:v>
                </c:pt>
                <c:pt idx="26">
                  <c:v>24-Oct-24</c:v>
                </c:pt>
                <c:pt idx="27">
                  <c:v>25-Oct-24</c:v>
                </c:pt>
                <c:pt idx="28">
                  <c:v>28-Oct-24</c:v>
                </c:pt>
                <c:pt idx="29">
                  <c:v>29-Oct-24</c:v>
                </c:pt>
                <c:pt idx="30">
                  <c:v>30-Oct-24</c:v>
                </c:pt>
                <c:pt idx="31">
                  <c:v>31-Oct-24</c:v>
                </c:pt>
                <c:pt idx="32">
                  <c:v>04-Nov-24</c:v>
                </c:pt>
                <c:pt idx="33">
                  <c:v>05-Nov-24</c:v>
                </c:pt>
                <c:pt idx="34">
                  <c:v>06-Nov-24</c:v>
                </c:pt>
                <c:pt idx="35">
                  <c:v>07-Nov-24</c:v>
                </c:pt>
                <c:pt idx="36">
                  <c:v>08-Nov-24</c:v>
                </c:pt>
                <c:pt idx="37">
                  <c:v>11-Nov-24</c:v>
                </c:pt>
                <c:pt idx="38">
                  <c:v>12-Nov-24</c:v>
                </c:pt>
                <c:pt idx="39">
                  <c:v>13-Nov-24</c:v>
                </c:pt>
                <c:pt idx="40">
                  <c:v>14-Nov-24</c:v>
                </c:pt>
                <c:pt idx="41">
                  <c:v>18-Nov-24</c:v>
                </c:pt>
                <c:pt idx="42">
                  <c:v>19-Nov-24</c:v>
                </c:pt>
                <c:pt idx="43">
                  <c:v>21-Nov-24</c:v>
                </c:pt>
                <c:pt idx="44">
                  <c:v>22-Nov-24</c:v>
                </c:pt>
                <c:pt idx="45">
                  <c:v>25-Nov-24</c:v>
                </c:pt>
                <c:pt idx="46">
                  <c:v>26-Nov-24</c:v>
                </c:pt>
                <c:pt idx="47">
                  <c:v>27-Nov-24</c:v>
                </c:pt>
                <c:pt idx="48">
                  <c:v>28-Nov-24</c:v>
                </c:pt>
                <c:pt idx="49">
                  <c:v>29-Nov-24</c:v>
                </c:pt>
                <c:pt idx="50">
                  <c:v>02-Dec-24</c:v>
                </c:pt>
                <c:pt idx="51">
                  <c:v>03-Dec-24</c:v>
                </c:pt>
                <c:pt idx="52">
                  <c:v>04-Dec-24</c:v>
                </c:pt>
                <c:pt idx="53">
                  <c:v>05-Dec-24</c:v>
                </c:pt>
                <c:pt idx="54">
                  <c:v>06-Dec-24</c:v>
                </c:pt>
                <c:pt idx="55">
                  <c:v>09-Dec-24</c:v>
                </c:pt>
                <c:pt idx="56">
                  <c:v>10-Dec-24</c:v>
                </c:pt>
                <c:pt idx="57">
                  <c:v>11-Dec-24</c:v>
                </c:pt>
                <c:pt idx="58">
                  <c:v>12-Dec-24</c:v>
                </c:pt>
                <c:pt idx="59">
                  <c:v>13-Dec-24</c:v>
                </c:pt>
                <c:pt idx="60">
                  <c:v>16-Dec-24</c:v>
                </c:pt>
                <c:pt idx="61">
                  <c:v>17-Dec-24</c:v>
                </c:pt>
                <c:pt idx="62">
                  <c:v>18-Dec-24</c:v>
                </c:pt>
                <c:pt idx="63">
                  <c:v>19-Dec-24</c:v>
                </c:pt>
                <c:pt idx="64">
                  <c:v>20-Dec-24</c:v>
                </c:pt>
                <c:pt idx="65">
                  <c:v>23-Dec-24</c:v>
                </c:pt>
                <c:pt idx="66">
                  <c:v>24-Dec-24</c:v>
                </c:pt>
                <c:pt idx="67">
                  <c:v>26-Dec-24</c:v>
                </c:pt>
                <c:pt idx="68">
                  <c:v>27-Dec-24</c:v>
                </c:pt>
                <c:pt idx="69">
                  <c:v>30-Dec-24</c:v>
                </c:pt>
                <c:pt idx="70">
                  <c:v>31-Dec-24</c:v>
                </c:pt>
                <c:pt idx="71">
                  <c:v>01-Jan-25</c:v>
                </c:pt>
                <c:pt idx="72">
                  <c:v>02-Jan-25</c:v>
                </c:pt>
                <c:pt idx="73">
                  <c:v>03-Jan-25</c:v>
                </c:pt>
                <c:pt idx="74">
                  <c:v>06-Jan-25</c:v>
                </c:pt>
                <c:pt idx="75">
                  <c:v>07-Jan-25</c:v>
                </c:pt>
                <c:pt idx="76">
                  <c:v>08-Jan-25</c:v>
                </c:pt>
                <c:pt idx="77">
                  <c:v>09-Jan-25</c:v>
                </c:pt>
                <c:pt idx="78">
                  <c:v>10-Jan-25</c:v>
                </c:pt>
                <c:pt idx="79">
                  <c:v>13-Jan-25</c:v>
                </c:pt>
                <c:pt idx="80">
                  <c:v>14-Jan-25</c:v>
                </c:pt>
                <c:pt idx="81">
                  <c:v>15-Jan-25</c:v>
                </c:pt>
                <c:pt idx="82">
                  <c:v>16-Jan-25</c:v>
                </c:pt>
                <c:pt idx="83">
                  <c:v>17-Jan-25</c:v>
                </c:pt>
                <c:pt idx="84">
                  <c:v>20-Jan-25</c:v>
                </c:pt>
                <c:pt idx="85">
                  <c:v>21-Jan-25</c:v>
                </c:pt>
                <c:pt idx="86">
                  <c:v>22-Jan-25</c:v>
                </c:pt>
                <c:pt idx="87">
                  <c:v>23-Jan-25</c:v>
                </c:pt>
                <c:pt idx="88">
                  <c:v>24-Jan-25</c:v>
                </c:pt>
                <c:pt idx="89">
                  <c:v>27-Jan-25</c:v>
                </c:pt>
                <c:pt idx="90">
                  <c:v>28-Jan-25</c:v>
                </c:pt>
                <c:pt idx="91">
                  <c:v>29-Jan-25</c:v>
                </c:pt>
                <c:pt idx="92">
                  <c:v>30-Jan-25</c:v>
                </c:pt>
                <c:pt idx="93">
                  <c:v>31-Jan-25</c:v>
                </c:pt>
                <c:pt idx="94">
                  <c:v>03-Feb-25</c:v>
                </c:pt>
                <c:pt idx="95">
                  <c:v>04-Feb-25</c:v>
                </c:pt>
                <c:pt idx="96">
                  <c:v>05-Feb-25</c:v>
                </c:pt>
                <c:pt idx="97">
                  <c:v>06-Feb-25</c:v>
                </c:pt>
                <c:pt idx="98">
                  <c:v>07-Feb-25</c:v>
                </c:pt>
                <c:pt idx="99">
                  <c:v>10-Feb-25</c:v>
                </c:pt>
                <c:pt idx="100">
                  <c:v>11-Feb-25</c:v>
                </c:pt>
                <c:pt idx="101">
                  <c:v>12-Feb-25</c:v>
                </c:pt>
                <c:pt idx="102">
                  <c:v>13-Feb-25</c:v>
                </c:pt>
                <c:pt idx="103">
                  <c:v>14-Feb-25</c:v>
                </c:pt>
                <c:pt idx="104">
                  <c:v>17-Feb-25</c:v>
                </c:pt>
                <c:pt idx="105">
                  <c:v>18-Feb-25</c:v>
                </c:pt>
                <c:pt idx="106">
                  <c:v>20-Feb-25</c:v>
                </c:pt>
                <c:pt idx="107">
                  <c:v>21-Feb-25</c:v>
                </c:pt>
                <c:pt idx="108">
                  <c:v>24-Feb-25</c:v>
                </c:pt>
                <c:pt idx="109">
                  <c:v>25-Feb-25</c:v>
                </c:pt>
                <c:pt idx="110">
                  <c:v>27-Feb-25</c:v>
                </c:pt>
                <c:pt idx="111">
                  <c:v>28-Feb-25</c:v>
                </c:pt>
                <c:pt idx="112">
                  <c:v>03-Mar-25</c:v>
                </c:pt>
                <c:pt idx="113">
                  <c:v>04-Mar-25</c:v>
                </c:pt>
                <c:pt idx="114">
                  <c:v>05-Mar-25</c:v>
                </c:pt>
                <c:pt idx="115">
                  <c:v>06-Mar-25</c:v>
                </c:pt>
                <c:pt idx="116">
                  <c:v>07-Mar-25</c:v>
                </c:pt>
                <c:pt idx="117">
                  <c:v>10-Mar-25</c:v>
                </c:pt>
                <c:pt idx="118">
                  <c:v>11-Mar-25</c:v>
                </c:pt>
                <c:pt idx="119">
                  <c:v>12-Mar-25</c:v>
                </c:pt>
                <c:pt idx="120">
                  <c:v>13-Mar-25</c:v>
                </c:pt>
                <c:pt idx="121">
                  <c:v>17-Mar-25</c:v>
                </c:pt>
                <c:pt idx="122">
                  <c:v>18-Mar-25</c:v>
                </c:pt>
                <c:pt idx="123">
                  <c:v>19-Mar-25</c:v>
                </c:pt>
                <c:pt idx="124">
                  <c:v>20-Mar-25</c:v>
                </c:pt>
                <c:pt idx="125">
                  <c:v>21-Mar-25</c:v>
                </c:pt>
                <c:pt idx="126">
                  <c:v>24-Mar-25</c:v>
                </c:pt>
                <c:pt idx="127">
                  <c:v>25-Mar-25</c:v>
                </c:pt>
                <c:pt idx="128">
                  <c:v>26-Mar-25</c:v>
                </c:pt>
                <c:pt idx="129">
                  <c:v>27-Mar-25</c:v>
                </c:pt>
                <c:pt idx="130">
                  <c:v>28-Mar-25</c:v>
                </c:pt>
                <c:pt idx="131">
                  <c:v>02-Apr-25</c:v>
                </c:pt>
                <c:pt idx="132">
                  <c:v>03-Apr-25</c:v>
                </c:pt>
                <c:pt idx="133">
                  <c:v>04-Apr-25</c:v>
                </c:pt>
                <c:pt idx="134">
                  <c:v>07-Apr-25</c:v>
                </c:pt>
                <c:pt idx="135">
                  <c:v>08-Apr-25</c:v>
                </c:pt>
                <c:pt idx="136">
                  <c:v>09-Apr-25</c:v>
                </c:pt>
                <c:pt idx="137">
                  <c:v>11-Apr-25</c:v>
                </c:pt>
                <c:pt idx="138">
                  <c:v>15-Apr-25</c:v>
                </c:pt>
                <c:pt idx="139">
                  <c:v>16-Apr-25</c:v>
                </c:pt>
                <c:pt idx="140">
                  <c:v>17-Apr-25</c:v>
                </c:pt>
                <c:pt idx="141">
                  <c:v>21-Apr-25</c:v>
                </c:pt>
                <c:pt idx="142">
                  <c:v>22-Apr-25</c:v>
                </c:pt>
                <c:pt idx="143">
                  <c:v>23-Apr-25</c:v>
                </c:pt>
                <c:pt idx="144">
                  <c:v>24-Apr-25</c:v>
                </c:pt>
                <c:pt idx="145">
                  <c:v>25-Apr-25</c:v>
                </c:pt>
                <c:pt idx="146">
                  <c:v>28-Apr-25</c:v>
                </c:pt>
                <c:pt idx="147">
                  <c:v>29-Apr-25</c:v>
                </c:pt>
                <c:pt idx="148">
                  <c:v>30-Apr-25</c:v>
                </c:pt>
                <c:pt idx="149">
                  <c:v>02-May-25</c:v>
                </c:pt>
                <c:pt idx="150">
                  <c:v>05-May-25</c:v>
                </c:pt>
                <c:pt idx="151">
                  <c:v>06-May-25</c:v>
                </c:pt>
                <c:pt idx="152">
                  <c:v>07-May-25</c:v>
                </c:pt>
                <c:pt idx="153">
                  <c:v>08-May-25</c:v>
                </c:pt>
                <c:pt idx="154">
                  <c:v>09-May-25</c:v>
                </c:pt>
                <c:pt idx="155">
                  <c:v>13-May-25</c:v>
                </c:pt>
                <c:pt idx="156">
                  <c:v>14-May-25</c:v>
                </c:pt>
                <c:pt idx="157">
                  <c:v>15-May-25</c:v>
                </c:pt>
                <c:pt idx="158">
                  <c:v>16-May-25</c:v>
                </c:pt>
                <c:pt idx="159">
                  <c:v>19-May-25</c:v>
                </c:pt>
                <c:pt idx="160">
                  <c:v>20-May-25</c:v>
                </c:pt>
                <c:pt idx="161">
                  <c:v>21-May-25</c:v>
                </c:pt>
                <c:pt idx="162">
                  <c:v>22-May-25</c:v>
                </c:pt>
                <c:pt idx="163">
                  <c:v>23-May-25</c:v>
                </c:pt>
                <c:pt idx="164">
                  <c:v>26-May-25</c:v>
                </c:pt>
                <c:pt idx="165">
                  <c:v>27-May-25</c:v>
                </c:pt>
                <c:pt idx="166">
                  <c:v>28-May-25</c:v>
                </c:pt>
                <c:pt idx="167">
                  <c:v>29-May-25</c:v>
                </c:pt>
                <c:pt idx="168">
                  <c:v>30-May-25</c:v>
                </c:pt>
                <c:pt idx="169">
                  <c:v>02-Jun-25</c:v>
                </c:pt>
                <c:pt idx="170">
                  <c:v>03-Jun-25</c:v>
                </c:pt>
                <c:pt idx="171">
                  <c:v>04-Jun-25</c:v>
                </c:pt>
                <c:pt idx="172">
                  <c:v>05-Jun-25</c:v>
                </c:pt>
                <c:pt idx="173">
                  <c:v>06-Jun-25</c:v>
                </c:pt>
                <c:pt idx="174">
                  <c:v>09-Jun-25</c:v>
                </c:pt>
                <c:pt idx="175">
                  <c:v>10-Jun-25</c:v>
                </c:pt>
                <c:pt idx="176">
                  <c:v>11-Jun-25</c:v>
                </c:pt>
                <c:pt idx="177">
                  <c:v>12-Jun-25</c:v>
                </c:pt>
                <c:pt idx="178">
                  <c:v>13-Jun-25</c:v>
                </c:pt>
                <c:pt idx="179">
                  <c:v>16-Jun-25</c:v>
                </c:pt>
                <c:pt idx="180">
                  <c:v>17-Jun-25</c:v>
                </c:pt>
                <c:pt idx="181">
                  <c:v>18-Jun-25</c:v>
                </c:pt>
                <c:pt idx="182">
                  <c:v>19-Jun-25</c:v>
                </c:pt>
                <c:pt idx="183">
                  <c:v>20-Jun-25</c:v>
                </c:pt>
                <c:pt idx="184">
                  <c:v>23-Jun-25</c:v>
                </c:pt>
                <c:pt idx="185">
                  <c:v>24-Jun-25</c:v>
                </c:pt>
                <c:pt idx="186">
                  <c:v>25-Jun-25</c:v>
                </c:pt>
                <c:pt idx="187">
                  <c:v>26-Jun-25</c:v>
                </c:pt>
                <c:pt idx="188">
                  <c:v>27-Jun-25</c:v>
                </c:pt>
                <c:pt idx="189">
                  <c:v>30-Jun-25</c:v>
                </c:pt>
                <c:pt idx="190">
                  <c:v>01-Jul-25</c:v>
                </c:pt>
                <c:pt idx="191">
                  <c:v>02-Jul-25</c:v>
                </c:pt>
                <c:pt idx="192">
                  <c:v>03-Jul-25</c:v>
                </c:pt>
                <c:pt idx="193">
                  <c:v>04-Jul-25</c:v>
                </c:pt>
                <c:pt idx="194">
                  <c:v>07-Jul-25</c:v>
                </c:pt>
                <c:pt idx="195">
                  <c:v>08-Jul-25</c:v>
                </c:pt>
                <c:pt idx="196">
                  <c:v>09-Jul-25</c:v>
                </c:pt>
                <c:pt idx="197">
                  <c:v>10-Jul-25</c:v>
                </c:pt>
                <c:pt idx="198">
                  <c:v>11-Jul-25</c:v>
                </c:pt>
                <c:pt idx="199">
                  <c:v>14-Jul-25</c:v>
                </c:pt>
                <c:pt idx="200">
                  <c:v>15-Jul-25</c:v>
                </c:pt>
                <c:pt idx="201">
                  <c:v>16-Jul-25</c:v>
                </c:pt>
                <c:pt idx="202">
                  <c:v>17-Jul-25</c:v>
                </c:pt>
                <c:pt idx="203">
                  <c:v>18-Jul-25</c:v>
                </c:pt>
                <c:pt idx="204">
                  <c:v>21-Jul-25</c:v>
                </c:pt>
                <c:pt idx="205">
                  <c:v>22-Jul-25</c:v>
                </c:pt>
                <c:pt idx="206">
                  <c:v>23-Jul-25</c:v>
                </c:pt>
                <c:pt idx="207">
                  <c:v>24-Jul-25</c:v>
                </c:pt>
                <c:pt idx="208">
                  <c:v>25-Jul-25</c:v>
                </c:pt>
                <c:pt idx="209">
                  <c:v>28-Jul-25</c:v>
                </c:pt>
                <c:pt idx="210">
                  <c:v>29-Jul-25</c:v>
                </c:pt>
                <c:pt idx="211">
                  <c:v>30-Jul-25</c:v>
                </c:pt>
                <c:pt idx="212">
                  <c:v>31-Jul-25</c:v>
                </c:pt>
                <c:pt idx="213">
                  <c:v>01-Aug-25</c:v>
                </c:pt>
                <c:pt idx="214">
                  <c:v>04-Aug-25</c:v>
                </c:pt>
                <c:pt idx="215">
                  <c:v>05-Aug-25</c:v>
                </c:pt>
                <c:pt idx="216">
                  <c:v>06-Aug-25</c:v>
                </c:pt>
                <c:pt idx="217">
                  <c:v>07-Aug-25</c:v>
                </c:pt>
                <c:pt idx="218">
                  <c:v>08-Aug-25</c:v>
                </c:pt>
                <c:pt idx="219">
                  <c:v>11-Aug-25</c:v>
                </c:pt>
                <c:pt idx="220">
                  <c:v>12-Aug-25</c:v>
                </c:pt>
                <c:pt idx="221">
                  <c:v>13-Aug-25</c:v>
                </c:pt>
                <c:pt idx="222">
                  <c:v>14-Aug-25</c:v>
                </c:pt>
                <c:pt idx="223">
                  <c:v>18-Aug-25</c:v>
                </c:pt>
                <c:pt idx="224">
                  <c:v>19-Aug-25</c:v>
                </c:pt>
                <c:pt idx="225">
                  <c:v>20-Aug-25</c:v>
                </c:pt>
                <c:pt idx="226">
                  <c:v>21-Aug-25</c:v>
                </c:pt>
                <c:pt idx="227">
                  <c:v>22-Aug-25</c:v>
                </c:pt>
                <c:pt idx="228">
                  <c:v>25-Aug-25</c:v>
                </c:pt>
                <c:pt idx="229">
                  <c:v>26-Aug-25</c:v>
                </c:pt>
                <c:pt idx="230">
                  <c:v>28-Aug-25</c:v>
                </c:pt>
                <c:pt idx="231">
                  <c:v>29-Aug-25</c:v>
                </c:pt>
                <c:pt idx="232">
                  <c:v>01-Sep-25</c:v>
                </c:pt>
                <c:pt idx="233">
                  <c:v>02-Sep-25</c:v>
                </c:pt>
                <c:pt idx="234">
                  <c:v>03-Sep-25</c:v>
                </c:pt>
                <c:pt idx="235">
                  <c:v>04-Sep-25</c:v>
                </c:pt>
                <c:pt idx="236">
                  <c:v>05-Sep-25</c:v>
                </c:pt>
                <c:pt idx="237">
                  <c:v>09-Sep-25</c:v>
                </c:pt>
                <c:pt idx="238">
                  <c:v>10-Sep-25</c:v>
                </c:pt>
                <c:pt idx="239">
                  <c:v>11-Sep-25</c:v>
                </c:pt>
                <c:pt idx="240">
                  <c:v>12-Sep-25</c:v>
                </c:pt>
                <c:pt idx="241">
                  <c:v>15-Sep-25</c:v>
                </c:pt>
                <c:pt idx="242">
                  <c:v>16-Sep-25</c:v>
                </c:pt>
                <c:pt idx="243">
                  <c:v>17-Sep-25</c:v>
                </c:pt>
                <c:pt idx="244">
                  <c:v>18-Sep-25</c:v>
                </c:pt>
                <c:pt idx="245">
                  <c:v>19-Sep-25</c:v>
                </c:pt>
                <c:pt idx="246">
                  <c:v>22-Sep-25</c:v>
                </c:pt>
                <c:pt idx="247">
                  <c:v>23-Sep-25</c:v>
                </c:pt>
                <c:pt idx="248">
                  <c:v>24-Sep-25</c:v>
                </c:pt>
                <c:pt idx="249">
                  <c:v>25-Sep-25</c:v>
                </c:pt>
                <c:pt idx="250">
                  <c:v>26-Sep-25</c:v>
                </c:pt>
                <c:pt idx="251">
                  <c:v>29-Sep-25</c:v>
                </c:pt>
                <c:pt idx="252">
                  <c:v>30-Sep-25</c:v>
                </c:pt>
                <c:pt idx="253">
                  <c:v>01-Oct-25</c:v>
                </c:pt>
                <c:pt idx="254">
                  <c:v>03-Oct-25</c:v>
                </c:pt>
                <c:pt idx="255">
                  <c:v>06-Oct-25</c:v>
                </c:pt>
                <c:pt idx="256">
                  <c:v>07-Oct-25</c:v>
                </c:pt>
                <c:pt idx="257">
                  <c:v>08-Oct-25</c:v>
                </c:pt>
                <c:pt idx="258">
                  <c:v>09-Oct-25</c:v>
                </c:pt>
                <c:pt idx="259">
                  <c:v>10-Oct-25</c:v>
                </c:pt>
                <c:pt idx="260">
                  <c:v>13-Oct-25</c:v>
                </c:pt>
                <c:pt idx="261">
                  <c:v>14-Oct-25</c:v>
                </c:pt>
                <c:pt idx="262">
                  <c:v>15-Oct-25</c:v>
                </c:pt>
                <c:pt idx="263">
                  <c:v>16-Oct-25</c:v>
                </c:pt>
                <c:pt idx="264">
                  <c:v>17-Oct-25</c:v>
                </c:pt>
                <c:pt idx="265">
                  <c:v>20-Oct-25</c:v>
                </c:pt>
                <c:pt idx="266">
                  <c:v>23-Oct-25</c:v>
                </c:pt>
                <c:pt idx="267">
                  <c:v>24-Oct-25</c:v>
                </c:pt>
                <c:pt idx="268">
                  <c:v>27-Oct-25</c:v>
                </c:pt>
                <c:pt idx="269">
                  <c:v>28-Oct-25</c:v>
                </c:pt>
                <c:pt idx="270">
                  <c:v>29-Oct-25</c:v>
                </c:pt>
                <c:pt idx="271">
                  <c:v>30-Oct-25</c:v>
                </c:pt>
                <c:pt idx="272">
                  <c:v>31-Oct-25</c:v>
                </c:pt>
                <c:pt idx="273">
                  <c:v>03-Nov-25</c:v>
                </c:pt>
                <c:pt idx="274">
                  <c:v>04-Nov-25</c:v>
                </c:pt>
                <c:pt idx="275">
                  <c:v>06-Nov-25</c:v>
                </c:pt>
                <c:pt idx="276">
                  <c:v>07-Nov-25</c:v>
                </c:pt>
                <c:pt idx="277">
                  <c:v>10-Nov-25</c:v>
                </c:pt>
                <c:pt idx="278">
                  <c:v>11-Nov-25</c:v>
                </c:pt>
                <c:pt idx="279">
                  <c:v>12-Nov-25</c:v>
                </c:pt>
                <c:pt idx="280">
                  <c:v>13-Nov-25</c:v>
                </c:pt>
                <c:pt idx="281">
                  <c:v>14-Nov-25</c:v>
                </c:pt>
                <c:pt idx="282">
                  <c:v>17-Nov-25</c:v>
                </c:pt>
                <c:pt idx="283">
                  <c:v>18-Nov-25</c:v>
                </c:pt>
                <c:pt idx="284">
                  <c:v>19-Nov-25</c:v>
                </c:pt>
                <c:pt idx="285">
                  <c:v>20-Nov-25</c:v>
                </c:pt>
                <c:pt idx="286">
                  <c:v>21-Nov-25</c:v>
                </c:pt>
                <c:pt idx="287">
                  <c:v>24-Nov-25</c:v>
                </c:pt>
                <c:pt idx="288">
                  <c:v>25-Nov-25</c:v>
                </c:pt>
                <c:pt idx="289">
                  <c:v>26-Nov-25</c:v>
                </c:pt>
                <c:pt idx="290">
                  <c:v>27-Nov-25</c:v>
                </c:pt>
                <c:pt idx="291">
                  <c:v>28-Nov-25</c:v>
                </c:pt>
                <c:pt idx="292">
                  <c:v>01-Dec-25</c:v>
                </c:pt>
                <c:pt idx="293">
                  <c:v>02-Dec-25</c:v>
                </c:pt>
                <c:pt idx="294">
                  <c:v>03-Dec-25</c:v>
                </c:pt>
                <c:pt idx="295">
                  <c:v>04-Dec-25</c:v>
                </c:pt>
                <c:pt idx="296">
                  <c:v>05-Dec-25</c:v>
                </c:pt>
                <c:pt idx="297">
                  <c:v>08-Dec-25</c:v>
                </c:pt>
                <c:pt idx="298">
                  <c:v>09-Dec-25</c:v>
                </c:pt>
                <c:pt idx="299">
                  <c:v>10-Dec-25</c:v>
                </c:pt>
                <c:pt idx="300">
                  <c:v>11-Dec-25</c:v>
                </c:pt>
                <c:pt idx="301">
                  <c:v>12-Dec-25</c:v>
                </c:pt>
                <c:pt idx="302">
                  <c:v>15-Dec-25</c:v>
                </c:pt>
                <c:pt idx="303">
                  <c:v>16-Dec-25</c:v>
                </c:pt>
                <c:pt idx="304">
                  <c:v>17-Dec-25</c:v>
                </c:pt>
                <c:pt idx="305">
                  <c:v>18-Dec-25</c:v>
                </c:pt>
                <c:pt idx="306">
                  <c:v>19-Dec-25</c:v>
                </c:pt>
                <c:pt idx="307">
                  <c:v>22-Dec-25</c:v>
                </c:pt>
                <c:pt idx="308">
                  <c:v>23-Dec-25</c:v>
                </c:pt>
                <c:pt idx="309">
                  <c:v>24-Dec-25</c:v>
                </c:pt>
                <c:pt idx="310">
                  <c:v>26-Dec-25</c:v>
                </c:pt>
                <c:pt idx="311">
                  <c:v>29-Dec-25</c:v>
                </c:pt>
                <c:pt idx="312">
                  <c:v>30-Dec-25</c:v>
                </c:pt>
                <c:pt idx="313">
                  <c:v>31-Dec-25</c:v>
                </c:pt>
                <c:pt idx="314">
                  <c:v>01-Jan-26</c:v>
                </c:pt>
                <c:pt idx="315">
                  <c:v>02-Jan-26</c:v>
                </c:pt>
                <c:pt idx="316">
                  <c:v>05-Jan-26</c:v>
                </c:pt>
                <c:pt idx="317">
                  <c:v>06-Jan-26</c:v>
                </c:pt>
                <c:pt idx="318">
                  <c:v>07-Jan-26</c:v>
                </c:pt>
                <c:pt idx="319">
                  <c:v>08-Jan-26</c:v>
                </c:pt>
                <c:pt idx="320">
                  <c:v>09-Jan-26</c:v>
                </c:pt>
                <c:pt idx="321">
                  <c:v>12-Jan-26</c:v>
                </c:pt>
                <c:pt idx="322">
                  <c:v>13-Jan-26</c:v>
                </c:pt>
                <c:pt idx="323">
                  <c:v>14-Jan-26</c:v>
                </c:pt>
                <c:pt idx="324">
                  <c:v>16-Jan-26</c:v>
                </c:pt>
                <c:pt idx="325">
                  <c:v>19-Jan-26</c:v>
                </c:pt>
                <c:pt idx="326">
                  <c:v>20-Jan-26</c:v>
                </c:pt>
                <c:pt idx="327">
                  <c:v>21-Jan-26</c:v>
                </c:pt>
                <c:pt idx="328">
                  <c:v>22-Jan-26</c:v>
                </c:pt>
                <c:pt idx="329">
                  <c:v>23-Jan-26</c:v>
                </c:pt>
                <c:pt idx="330">
                  <c:v>27-Jan-26</c:v>
                </c:pt>
                <c:pt idx="331">
                  <c:v>28-Jan-26</c:v>
                </c:pt>
                <c:pt idx="332">
                  <c:v>29-Jan-26</c:v>
                </c:pt>
                <c:pt idx="333">
                  <c:v>30-Jan-26</c:v>
                </c:pt>
                <c:pt idx="334">
                  <c:v>02-Feb-26</c:v>
                </c:pt>
                <c:pt idx="335">
                  <c:v>03-Feb-26</c:v>
                </c:pt>
                <c:pt idx="336">
                  <c:v>04-Feb-26</c:v>
                </c:pt>
                <c:pt idx="337">
                  <c:v>05-Feb-26</c:v>
                </c:pt>
                <c:pt idx="338">
                  <c:v>06-Feb-26</c:v>
                </c:pt>
                <c:pt idx="339">
                  <c:v>09-Feb-26</c:v>
                </c:pt>
                <c:pt idx="340">
                  <c:v>10-Feb-26</c:v>
                </c:pt>
                <c:pt idx="341">
                  <c:v>11-Feb-26</c:v>
                </c:pt>
                <c:pt idx="342">
                  <c:v>12-Feb-26</c:v>
                </c:pt>
                <c:pt idx="343">
                  <c:v>13-Feb-26</c:v>
                </c:pt>
                <c:pt idx="344">
                  <c:v>16-Feb-26</c:v>
                </c:pt>
                <c:pt idx="345">
                  <c:v>17-Feb-26</c:v>
                </c:pt>
                <c:pt idx="346">
                  <c:v>18-Feb-26</c:v>
                </c:pt>
                <c:pt idx="347">
                  <c:v>20-Feb-26</c:v>
                </c:pt>
                <c:pt idx="348">
                  <c:v>23-Feb-26</c:v>
                </c:pt>
                <c:pt idx="349">
                  <c:v>24-Feb-26</c:v>
                </c:pt>
                <c:pt idx="350">
                  <c:v>25-Feb-26</c:v>
                </c:pt>
                <c:pt idx="351">
                  <c:v>26-Feb-26</c:v>
                </c:pt>
                <c:pt idx="352">
                  <c:v>27-Feb-26</c:v>
                </c:pt>
                <c:pt idx="353">
                  <c:v>02-Mar-26</c:v>
                </c:pt>
                <c:pt idx="354">
                  <c:v>04-Mar-26</c:v>
                </c:pt>
                <c:pt idx="355">
                  <c:v>05-Mar-26</c:v>
                </c:pt>
                <c:pt idx="356">
                  <c:v>06-Mar-26</c:v>
                </c:pt>
                <c:pt idx="357">
                  <c:v>09-Mar-26</c:v>
                </c:pt>
                <c:pt idx="358">
                  <c:v>10-Mar-26</c:v>
                </c:pt>
                <c:pt idx="359">
                  <c:v>11-Mar-26</c:v>
                </c:pt>
                <c:pt idx="360">
                  <c:v>12-Mar-26</c:v>
                </c:pt>
                <c:pt idx="361">
                  <c:v>13-Mar-26</c:v>
                </c:pt>
                <c:pt idx="362">
                  <c:v>16-Mar-26</c:v>
                </c:pt>
                <c:pt idx="363">
                  <c:v>17-Mar-26</c:v>
                </c:pt>
                <c:pt idx="364">
                  <c:v>18-Mar-26</c:v>
                </c:pt>
                <c:pt idx="365">
                  <c:v>20-Mar-26</c:v>
                </c:pt>
                <c:pt idx="366">
                  <c:v>23-Mar-26</c:v>
                </c:pt>
                <c:pt idx="367">
                  <c:v>24-Mar-26</c:v>
                </c:pt>
                <c:pt idx="368">
                  <c:v>25-Mar-26</c:v>
                </c:pt>
                <c:pt idx="369">
                  <c:v>27-Mar-26</c:v>
                </c:pt>
                <c:pt idx="370">
                  <c:v>30-Mar-26</c:v>
                </c:pt>
                <c:pt idx="371">
                  <c:v>02-Apr-26</c:v>
                </c:pt>
                <c:pt idx="372">
                  <c:v>06-Apr-26</c:v>
                </c:pt>
                <c:pt idx="373">
                  <c:v>07-Apr-26</c:v>
                </c:pt>
                <c:pt idx="374">
                  <c:v>08-Apr-26</c:v>
                </c:pt>
                <c:pt idx="375">
                  <c:v>09-Apr-26</c:v>
                </c:pt>
                <c:pt idx="376">
                  <c:v>10-Apr-26</c:v>
                </c:pt>
                <c:pt idx="377">
                  <c:v>13-Apr-26</c:v>
                </c:pt>
                <c:pt idx="378">
                  <c:v>15-Apr-26</c:v>
                </c:pt>
                <c:pt idx="379">
                  <c:v>16-Apr-26</c:v>
                </c:pt>
                <c:pt idx="380">
                  <c:v>17-Apr-26</c:v>
                </c:pt>
                <c:pt idx="381">
                  <c:v>20-Apr-26</c:v>
                </c:pt>
                <c:pt idx="382">
                  <c:v>21-Apr-26</c:v>
                </c:pt>
                <c:pt idx="383">
                  <c:v>22-Apr-26</c:v>
                </c:pt>
                <c:pt idx="384">
                  <c:v>23-Apr-26</c:v>
                </c:pt>
                <c:pt idx="385">
                  <c:v>24-Apr-26</c:v>
                </c:pt>
                <c:pt idx="386">
                  <c:v>27-Apr-26</c:v>
                </c:pt>
                <c:pt idx="387">
                  <c:v>28-Apr-26</c:v>
                </c:pt>
                <c:pt idx="388">
                  <c:v>29-Apr-26</c:v>
                </c:pt>
                <c:pt idx="389">
                  <c:v>30-Apr-26</c:v>
                </c:pt>
                <c:pt idx="390">
                  <c:v>04-May-26</c:v>
                </c:pt>
                <c:pt idx="391">
                  <c:v>05-May-26</c:v>
                </c:pt>
                <c:pt idx="392">
                  <c:v>06-May-26</c:v>
                </c:pt>
                <c:pt idx="393">
                  <c:v>07-May-26</c:v>
                </c:pt>
                <c:pt idx="394">
                  <c:v>08-May-26</c:v>
                </c:pt>
                <c:pt idx="395">
                  <c:v>11-May-26</c:v>
                </c:pt>
                <c:pt idx="396">
                  <c:v>12-May-26</c:v>
                </c:pt>
                <c:pt idx="397">
                  <c:v>13-May-26</c:v>
                </c:pt>
                <c:pt idx="398">
                  <c:v>14-May-26</c:v>
                </c:pt>
                <c:pt idx="399">
                  <c:v>15-May-26</c:v>
                </c:pt>
                <c:pt idx="400">
                  <c:v>18-May-26</c:v>
                </c:pt>
                <c:pt idx="401">
                  <c:v>19-May-26</c:v>
                </c:pt>
                <c:pt idx="402">
                  <c:v>20-May-26</c:v>
                </c:pt>
                <c:pt idx="403">
                  <c:v>21-May-26</c:v>
                </c:pt>
                <c:pt idx="404">
                  <c:v>22-May-26</c:v>
                </c:pt>
                <c:pt idx="405">
                  <c:v>25-May-26</c:v>
                </c:pt>
                <c:pt idx="406">
                  <c:v>26-May-26</c:v>
                </c:pt>
                <c:pt idx="407">
                  <c:v>27-May-26</c:v>
                </c:pt>
                <c:pt idx="408">
                  <c:v>29-May-26</c:v>
                </c:pt>
                <c:pt idx="409">
                  <c:v>01-Jun-26</c:v>
                </c:pt>
                <c:pt idx="410">
                  <c:v>02-Jun-26</c:v>
                </c:pt>
                <c:pt idx="411">
                  <c:v>03-Jun-26</c:v>
                </c:pt>
                <c:pt idx="412">
                  <c:v>04-Jun-26</c:v>
                </c:pt>
                <c:pt idx="413">
                  <c:v>05-Jun-26</c:v>
                </c:pt>
                <c:pt idx="414">
                  <c:v>08-Jun-26</c:v>
                </c:pt>
                <c:pt idx="415">
                  <c:v>09-Jun-26</c:v>
                </c:pt>
                <c:pt idx="416">
                  <c:v>10-Jun-26</c:v>
                </c:pt>
                <c:pt idx="417">
                  <c:v>11-Jun-26</c:v>
                </c:pt>
                <c:pt idx="418">
                  <c:v>12-Jun-26</c:v>
                </c:pt>
                <c:pt idx="419">
                  <c:v>15-Jun-26</c:v>
                </c:pt>
                <c:pt idx="420">
                  <c:v>16-Jun-26</c:v>
                </c:pt>
                <c:pt idx="421">
                  <c:v>17-Jun-26</c:v>
                </c:pt>
                <c:pt idx="422">
                  <c:v>18-Jun-26</c:v>
                </c:pt>
                <c:pt idx="423">
                  <c:v>19-Jun-26</c:v>
                </c:pt>
                <c:pt idx="424">
                  <c:v>22-Jun-26</c:v>
                </c:pt>
                <c:pt idx="425">
                  <c:v>23-Jun-26</c:v>
                </c:pt>
                <c:pt idx="426">
                  <c:v>24-Jun-26</c:v>
                </c:pt>
                <c:pt idx="427">
                  <c:v>25-Jun-26</c:v>
                </c:pt>
                <c:pt idx="428">
                  <c:v>29-Jun-26</c:v>
                </c:pt>
                <c:pt idx="429">
                  <c:v>30-Jun-26</c:v>
                </c:pt>
                <c:pt idx="430">
                  <c:v>01-Jul-26</c:v>
                </c:pt>
                <c:pt idx="431">
                  <c:v>02-Jul-26</c:v>
                </c:pt>
                <c:pt idx="432">
                  <c:v>03-Jul-26</c:v>
                </c:pt>
                <c:pt idx="433">
                  <c:v>06-Jul-26</c:v>
                </c:pt>
                <c:pt idx="434">
                  <c:v>07-Jul-26</c:v>
                </c:pt>
                <c:pt idx="435">
                  <c:v>08-Jul-26</c:v>
                </c:pt>
                <c:pt idx="436">
                  <c:v>09-Jul-26</c:v>
                </c:pt>
                <c:pt idx="437">
                  <c:v>10-Jul-26</c:v>
                </c:pt>
                <c:pt idx="438">
                  <c:v>13-Jul-26</c:v>
                </c:pt>
                <c:pt idx="439">
                  <c:v>14-Jul-26</c:v>
                </c:pt>
                <c:pt idx="440">
                  <c:v>15-Jul-26</c:v>
                </c:pt>
                <c:pt idx="441">
                  <c:v>16-Jul-26</c:v>
                </c:pt>
                <c:pt idx="442">
                  <c:v>17-Jul-26</c:v>
                </c:pt>
                <c:pt idx="443">
                  <c:v>20-Jul-26</c:v>
                </c:pt>
                <c:pt idx="444">
                  <c:v>21-Jul-26</c:v>
                </c:pt>
                <c:pt idx="445">
                  <c:v>22-Jul-26</c:v>
                </c:pt>
                <c:pt idx="446">
                  <c:v>23-Jul-26</c:v>
                </c:pt>
                <c:pt idx="447">
                  <c:v>24-Jul-26</c:v>
                </c:pt>
                <c:pt idx="448">
                  <c:v>27-Jul-26</c:v>
                </c:pt>
                <c:pt idx="449">
                  <c:v>28-Jul-26</c:v>
                </c:pt>
                <c:pt idx="450">
                  <c:v>29-Jul-26</c:v>
                </c:pt>
                <c:pt idx="451">
                  <c:v>30-Jul-26</c:v>
                </c:pt>
                <c:pt idx="452">
                  <c:v>31-Jul-26</c:v>
                </c:pt>
                <c:pt idx="453">
                  <c:v>03-Aug-26</c:v>
                </c:pt>
                <c:pt idx="454">
                  <c:v>04-Aug-26</c:v>
                </c:pt>
                <c:pt idx="455">
                  <c:v>05-Aug-26</c:v>
                </c:pt>
                <c:pt idx="456">
                  <c:v>06-Aug-26</c:v>
                </c:pt>
                <c:pt idx="457">
                  <c:v>07-Aug-26</c:v>
                </c:pt>
                <c:pt idx="458">
                  <c:v>10-Aug-26</c:v>
                </c:pt>
                <c:pt idx="459">
                  <c:v>11-Aug-26</c:v>
                </c:pt>
                <c:pt idx="460">
                  <c:v>12-Aug-26</c:v>
                </c:pt>
                <c:pt idx="461">
                  <c:v>13-Aug-26</c:v>
                </c:pt>
                <c:pt idx="462">
                  <c:v>14-Aug-26</c:v>
                </c:pt>
                <c:pt idx="463">
                  <c:v>17-Aug-26</c:v>
                </c:pt>
                <c:pt idx="464">
                  <c:v>18-Aug-26</c:v>
                </c:pt>
                <c:pt idx="465">
                  <c:v>19-Aug-26</c:v>
                </c:pt>
                <c:pt idx="466">
                  <c:v>20-Aug-26</c:v>
                </c:pt>
                <c:pt idx="467">
                  <c:v>21-Aug-26</c:v>
                </c:pt>
                <c:pt idx="468">
                  <c:v>24-Aug-26</c:v>
                </c:pt>
                <c:pt idx="469">
                  <c:v>25-Aug-26</c:v>
                </c:pt>
                <c:pt idx="470">
                  <c:v>27-Aug-26</c:v>
                </c:pt>
                <c:pt idx="471">
                  <c:v>28-Aug-26</c:v>
                </c:pt>
                <c:pt idx="472">
                  <c:v>31-Aug-26</c:v>
                </c:pt>
                <c:pt idx="473">
                  <c:v>01-Sep-26</c:v>
                </c:pt>
                <c:pt idx="474">
                  <c:v>02-Sep-26</c:v>
                </c:pt>
                <c:pt idx="475">
                  <c:v>03-Sep-26</c:v>
                </c:pt>
                <c:pt idx="476">
                  <c:v>04-Sep-26</c:v>
                </c:pt>
                <c:pt idx="477">
                  <c:v>07-Sep-26</c:v>
                </c:pt>
                <c:pt idx="478">
                  <c:v>08-Sep-26</c:v>
                </c:pt>
                <c:pt idx="479">
                  <c:v>09-Sep-26</c:v>
                </c:pt>
              </c:strCache>
            </c:strRef>
          </c:cat>
          <c:val>
            <c:numRef>
              <c:f>HullWhite!$B$2:$B$481</c:f>
              <c:numCache>
                <c:formatCode>0.0000</c:formatCode>
                <c:ptCount val="480"/>
                <c:pt idx="0">
                  <c:v>0.0671</c:v>
                </c:pt>
                <c:pt idx="1">
                  <c:v>0.067</c:v>
                </c:pt>
                <c:pt idx="2">
                  <c:v>0.0674</c:v>
                </c:pt>
                <c:pt idx="3">
                  <c:v>0.0675</c:v>
                </c:pt>
                <c:pt idx="4">
                  <c:v>0.068</c:v>
                </c:pt>
                <c:pt idx="5">
                  <c:v>0.068</c:v>
                </c:pt>
                <c:pt idx="6">
                  <c:v>0.068</c:v>
                </c:pt>
                <c:pt idx="7">
                  <c:v>0.0665</c:v>
                </c:pt>
                <c:pt idx="8">
                  <c:v>0.066</c:v>
                </c:pt>
                <c:pt idx="9">
                  <c:v>0.0676</c:v>
                </c:pt>
                <c:pt idx="10">
                  <c:v>0.0655</c:v>
                </c:pt>
                <c:pt idx="11">
                  <c:v>0.0654</c:v>
                </c:pt>
                <c:pt idx="12">
                  <c:v>0.065</c:v>
                </c:pt>
                <c:pt idx="13">
                  <c:v>0.065</c:v>
                </c:pt>
                <c:pt idx="14">
                  <c:v>0.065</c:v>
                </c:pt>
                <c:pt idx="15">
                  <c:v>0.065</c:v>
                </c:pt>
                <c:pt idx="16">
                  <c:v>0.065</c:v>
                </c:pt>
                <c:pt idx="17">
                  <c:v>0.065</c:v>
                </c:pt>
                <c:pt idx="18">
                  <c:v>0.065</c:v>
                </c:pt>
                <c:pt idx="19">
                  <c:v>0.065</c:v>
                </c:pt>
                <c:pt idx="20">
                  <c:v>0.065</c:v>
                </c:pt>
                <c:pt idx="21">
                  <c:v>0.065</c:v>
                </c:pt>
                <c:pt idx="22">
                  <c:v>0.065</c:v>
                </c:pt>
                <c:pt idx="23">
                  <c:v>0.065</c:v>
                </c:pt>
                <c:pt idx="24">
                  <c:v>0.0673</c:v>
                </c:pt>
                <c:pt idx="25">
                  <c:v>0.0678</c:v>
                </c:pt>
                <c:pt idx="26">
                  <c:v>0.0675</c:v>
                </c:pt>
                <c:pt idx="27">
                  <c:v>0.067</c:v>
                </c:pt>
                <c:pt idx="28">
                  <c:v>0.0675</c:v>
                </c:pt>
                <c:pt idx="29">
                  <c:v>0.065</c:v>
                </c:pt>
                <c:pt idx="30">
                  <c:v>0.065</c:v>
                </c:pt>
                <c:pt idx="31">
                  <c:v>0.0661</c:v>
                </c:pt>
                <c:pt idx="32">
                  <c:v>0.065</c:v>
                </c:pt>
                <c:pt idx="33">
                  <c:v>0.064</c:v>
                </c:pt>
                <c:pt idx="34">
                  <c:v>0.064</c:v>
                </c:pt>
                <c:pt idx="35">
                  <c:v>0.0649</c:v>
                </c:pt>
                <c:pt idx="36">
                  <c:v>0.065</c:v>
                </c:pt>
                <c:pt idx="37">
                  <c:v>0.065</c:v>
                </c:pt>
                <c:pt idx="38">
                  <c:v>0.0654</c:v>
                </c:pt>
                <c:pt idx="39">
                  <c:v>0.0646</c:v>
                </c:pt>
                <c:pt idx="40">
                  <c:v>0.065</c:v>
                </c:pt>
                <c:pt idx="41">
                  <c:v>0.0652</c:v>
                </c:pt>
                <c:pt idx="42">
                  <c:v>0.0657</c:v>
                </c:pt>
                <c:pt idx="43">
                  <c:v>0.0671</c:v>
                </c:pt>
                <c:pt idx="44">
                  <c:v>0.0684</c:v>
                </c:pt>
                <c:pt idx="45">
                  <c:v>0.0685</c:v>
                </c:pt>
                <c:pt idx="46">
                  <c:v>0.0684</c:v>
                </c:pt>
                <c:pt idx="47">
                  <c:v>0.0684</c:v>
                </c:pt>
                <c:pt idx="48">
                  <c:v>0.0682</c:v>
                </c:pt>
                <c:pt idx="49">
                  <c:v>0.0676</c:v>
                </c:pt>
                <c:pt idx="50">
                  <c:v>0.066</c:v>
                </c:pt>
                <c:pt idx="51">
                  <c:v>0.065</c:v>
                </c:pt>
                <c:pt idx="52">
                  <c:v>0.065</c:v>
                </c:pt>
                <c:pt idx="53">
                  <c:v>0.066</c:v>
                </c:pt>
                <c:pt idx="54">
                  <c:v>0.0654</c:v>
                </c:pt>
                <c:pt idx="55">
                  <c:v>0.0667</c:v>
                </c:pt>
                <c:pt idx="56">
                  <c:v>0.068</c:v>
                </c:pt>
                <c:pt idx="57">
                  <c:v>0.0684</c:v>
                </c:pt>
                <c:pt idx="58">
                  <c:v>0.0676</c:v>
                </c:pt>
                <c:pt idx="59">
                  <c:v>0.0676</c:v>
                </c:pt>
                <c:pt idx="60">
                  <c:v>0.0679</c:v>
                </c:pt>
                <c:pt idx="61">
                  <c:v>0.0684</c:v>
                </c:pt>
                <c:pt idx="62">
                  <c:v>0.0682</c:v>
                </c:pt>
                <c:pt idx="63">
                  <c:v>0.0684</c:v>
                </c:pt>
                <c:pt idx="64">
                  <c:v>0.0689</c:v>
                </c:pt>
                <c:pt idx="65">
                  <c:v>0.0684</c:v>
                </c:pt>
                <c:pt idx="66">
                  <c:v>0.0686</c:v>
                </c:pt>
                <c:pt idx="67">
                  <c:v>0.0675</c:v>
                </c:pt>
                <c:pt idx="68">
                  <c:v>0.069</c:v>
                </c:pt>
                <c:pt idx="69">
                  <c:v>0.069</c:v>
                </c:pt>
                <c:pt idx="70">
                  <c:v>0.0715</c:v>
                </c:pt>
                <c:pt idx="71">
                  <c:v>0.066</c:v>
                </c:pt>
                <c:pt idx="72">
                  <c:v>0.0656</c:v>
                </c:pt>
                <c:pt idx="73">
                  <c:v>0.0656</c:v>
                </c:pt>
                <c:pt idx="74">
                  <c:v>0.0675</c:v>
                </c:pt>
                <c:pt idx="75">
                  <c:v>0.069</c:v>
                </c:pt>
                <c:pt idx="76">
                  <c:v>0.0688</c:v>
                </c:pt>
                <c:pt idx="77">
                  <c:v>0.0699</c:v>
                </c:pt>
                <c:pt idx="78">
                  <c:v>0.0708</c:v>
                </c:pt>
                <c:pt idx="79">
                  <c:v>0.07</c:v>
                </c:pt>
                <c:pt idx="80">
                  <c:v>0.066</c:v>
                </c:pt>
                <c:pt idx="81">
                  <c:v>0.065</c:v>
                </c:pt>
                <c:pt idx="82">
                  <c:v>0.0663</c:v>
                </c:pt>
                <c:pt idx="83">
                  <c:v>0.0664</c:v>
                </c:pt>
                <c:pt idx="84">
                  <c:v>0.0675</c:v>
                </c:pt>
                <c:pt idx="85">
                  <c:v>0.0661</c:v>
                </c:pt>
                <c:pt idx="86">
                  <c:v>0.0662</c:v>
                </c:pt>
                <c:pt idx="87">
                  <c:v>0.0665</c:v>
                </c:pt>
                <c:pt idx="88">
                  <c:v>0.0665</c:v>
                </c:pt>
                <c:pt idx="89">
                  <c:v>0.0665</c:v>
                </c:pt>
                <c:pt idx="90">
                  <c:v>0.0663</c:v>
                </c:pt>
                <c:pt idx="91">
                  <c:v>0.0665</c:v>
                </c:pt>
                <c:pt idx="92">
                  <c:v>0.0665</c:v>
                </c:pt>
                <c:pt idx="93">
                  <c:v>0.0665</c:v>
                </c:pt>
                <c:pt idx="94">
                  <c:v>0.0665</c:v>
                </c:pt>
                <c:pt idx="95">
                  <c:v>0.0661</c:v>
                </c:pt>
                <c:pt idx="96">
                  <c:v>0.0658</c:v>
                </c:pt>
                <c:pt idx="97">
                  <c:v>0.0654</c:v>
                </c:pt>
                <c:pt idx="98">
                  <c:v>0.0635</c:v>
                </c:pt>
                <c:pt idx="99">
                  <c:v>0.064</c:v>
                </c:pt>
                <c:pt idx="100">
                  <c:v>0.064</c:v>
                </c:pt>
                <c:pt idx="101">
                  <c:v>0.064</c:v>
                </c:pt>
                <c:pt idx="102">
                  <c:v>0.064</c:v>
                </c:pt>
                <c:pt idx="103">
                  <c:v>0.0645</c:v>
                </c:pt>
                <c:pt idx="104">
                  <c:v>0.064</c:v>
                </c:pt>
                <c:pt idx="105">
                  <c:v>0.064</c:v>
                </c:pt>
                <c:pt idx="106">
                  <c:v>0.0642</c:v>
                </c:pt>
                <c:pt idx="107">
                  <c:v>0.064</c:v>
                </c:pt>
                <c:pt idx="108">
                  <c:v>0.0638</c:v>
                </c:pt>
                <c:pt idx="109">
                  <c:v>0.064</c:v>
                </c:pt>
                <c:pt idx="110">
                  <c:v>0.064</c:v>
                </c:pt>
                <c:pt idx="111">
                  <c:v>0.064</c:v>
                </c:pt>
                <c:pt idx="112">
                  <c:v>0.064</c:v>
                </c:pt>
                <c:pt idx="113">
                  <c:v>0.0637</c:v>
                </c:pt>
                <c:pt idx="114">
                  <c:v>0.0629</c:v>
                </c:pt>
                <c:pt idx="115">
                  <c:v>0.063</c:v>
                </c:pt>
                <c:pt idx="116">
                  <c:v>0.063</c:v>
                </c:pt>
                <c:pt idx="117">
                  <c:v>0.063</c:v>
                </c:pt>
                <c:pt idx="118">
                  <c:v>0.0637</c:v>
                </c:pt>
                <c:pt idx="119">
                  <c:v>0.0634</c:v>
                </c:pt>
                <c:pt idx="120">
                  <c:v>0.064</c:v>
                </c:pt>
                <c:pt idx="121">
                  <c:v>0.0641</c:v>
                </c:pt>
                <c:pt idx="122">
                  <c:v>0.064</c:v>
                </c:pt>
                <c:pt idx="123">
                  <c:v>0.0645</c:v>
                </c:pt>
                <c:pt idx="124">
                  <c:v>0.0645</c:v>
                </c:pt>
                <c:pt idx="125">
                  <c:v>0.0644</c:v>
                </c:pt>
                <c:pt idx="126">
                  <c:v>0.0641</c:v>
                </c:pt>
                <c:pt idx="127">
                  <c:v>0.0641</c:v>
                </c:pt>
                <c:pt idx="128">
                  <c:v>0.0631</c:v>
                </c:pt>
                <c:pt idx="129">
                  <c:v>0.0624</c:v>
                </c:pt>
                <c:pt idx="130">
                  <c:v>0.072</c:v>
                </c:pt>
                <c:pt idx="131">
                  <c:v>0.0633</c:v>
                </c:pt>
                <c:pt idx="132">
                  <c:v>0.061</c:v>
                </c:pt>
                <c:pt idx="133">
                  <c:v>0.0615</c:v>
                </c:pt>
                <c:pt idx="134">
                  <c:v>0.0624</c:v>
                </c:pt>
                <c:pt idx="135">
                  <c:v>0.0625</c:v>
                </c:pt>
                <c:pt idx="136">
                  <c:v>0.0602</c:v>
                </c:pt>
                <c:pt idx="137">
                  <c:v>0.0585</c:v>
                </c:pt>
                <c:pt idx="138">
                  <c:v>0.0593</c:v>
                </c:pt>
                <c:pt idx="139">
                  <c:v>0.0593</c:v>
                </c:pt>
                <c:pt idx="140">
                  <c:v>0.0593</c:v>
                </c:pt>
                <c:pt idx="141">
                  <c:v>0.0593</c:v>
                </c:pt>
                <c:pt idx="142">
                  <c:v>0.0595</c:v>
                </c:pt>
                <c:pt idx="143">
                  <c:v>0.06</c:v>
                </c:pt>
                <c:pt idx="144">
                  <c:v>0.0595</c:v>
                </c:pt>
                <c:pt idx="145">
                  <c:v>0.0595</c:v>
                </c:pt>
                <c:pt idx="146">
                  <c:v>0.0595</c:v>
                </c:pt>
                <c:pt idx="147">
                  <c:v>0.0594</c:v>
                </c:pt>
                <c:pt idx="148">
                  <c:v>0.06</c:v>
                </c:pt>
                <c:pt idx="149">
                  <c:v>0.0595</c:v>
                </c:pt>
                <c:pt idx="150">
                  <c:v>0.0594</c:v>
                </c:pt>
                <c:pt idx="151">
                  <c:v>0.059</c:v>
                </c:pt>
                <c:pt idx="152">
                  <c:v>0.059</c:v>
                </c:pt>
                <c:pt idx="153">
                  <c:v>0.059</c:v>
                </c:pt>
                <c:pt idx="154">
                  <c:v>0.059</c:v>
                </c:pt>
                <c:pt idx="155">
                  <c:v>0.059</c:v>
                </c:pt>
                <c:pt idx="156">
                  <c:v>0.059</c:v>
                </c:pt>
                <c:pt idx="157">
                  <c:v>0.059</c:v>
                </c:pt>
                <c:pt idx="158">
                  <c:v>0.0589</c:v>
                </c:pt>
                <c:pt idx="159">
                  <c:v>0.0586</c:v>
                </c:pt>
                <c:pt idx="160">
                  <c:v>0.0585</c:v>
                </c:pt>
                <c:pt idx="161">
                  <c:v>0.0585</c:v>
                </c:pt>
                <c:pt idx="162">
                  <c:v>0.059</c:v>
                </c:pt>
                <c:pt idx="163">
                  <c:v>0.059</c:v>
                </c:pt>
                <c:pt idx="164">
                  <c:v>0.0585</c:v>
                </c:pt>
                <c:pt idx="165">
                  <c:v>0.0585</c:v>
                </c:pt>
                <c:pt idx="166">
                  <c:v>0.0584</c:v>
                </c:pt>
                <c:pt idx="167">
                  <c:v>0.0582</c:v>
                </c:pt>
                <c:pt idx="168">
                  <c:v>0.0586</c:v>
                </c:pt>
                <c:pt idx="169">
                  <c:v>0.0584</c:v>
                </c:pt>
                <c:pt idx="170">
                  <c:v>0.0582</c:v>
                </c:pt>
                <c:pt idx="171">
                  <c:v>0.058</c:v>
                </c:pt>
                <c:pt idx="172">
                  <c:v>0.058</c:v>
                </c:pt>
                <c:pt idx="173">
                  <c:v>0.055</c:v>
                </c:pt>
                <c:pt idx="174">
                  <c:v>0.0535</c:v>
                </c:pt>
                <c:pt idx="175">
                  <c:v>0.0535</c:v>
                </c:pt>
                <c:pt idx="176">
                  <c:v>0.0535</c:v>
                </c:pt>
                <c:pt idx="177">
                  <c:v>0.0534</c:v>
                </c:pt>
                <c:pt idx="178">
                  <c:v>0.0535</c:v>
                </c:pt>
                <c:pt idx="179">
                  <c:v>0.0535</c:v>
                </c:pt>
                <c:pt idx="180">
                  <c:v>0.053</c:v>
                </c:pt>
                <c:pt idx="181">
                  <c:v>0.053</c:v>
                </c:pt>
                <c:pt idx="182">
                  <c:v>0.053</c:v>
                </c:pt>
                <c:pt idx="183">
                  <c:v>0.053</c:v>
                </c:pt>
                <c:pt idx="184">
                  <c:v>0.053</c:v>
                </c:pt>
                <c:pt idx="185">
                  <c:v>0.053</c:v>
                </c:pt>
                <c:pt idx="186">
                  <c:v>0.0533</c:v>
                </c:pt>
                <c:pt idx="187">
                  <c:v>0.053</c:v>
                </c:pt>
                <c:pt idx="188">
                  <c:v>0.054</c:v>
                </c:pt>
                <c:pt idx="189">
                  <c:v>0.0552</c:v>
                </c:pt>
                <c:pt idx="190">
                  <c:v>0.0535</c:v>
                </c:pt>
                <c:pt idx="191">
                  <c:v>0.053</c:v>
                </c:pt>
                <c:pt idx="192">
                  <c:v>0.053</c:v>
                </c:pt>
                <c:pt idx="193">
                  <c:v>0.0531</c:v>
                </c:pt>
                <c:pt idx="194">
                  <c:v>0.053</c:v>
                </c:pt>
                <c:pt idx="195">
                  <c:v>0.0529</c:v>
                </c:pt>
                <c:pt idx="196">
                  <c:v>0.0536</c:v>
                </c:pt>
                <c:pt idx="197">
                  <c:v>0.054</c:v>
                </c:pt>
                <c:pt idx="198">
                  <c:v>0.0551</c:v>
                </c:pt>
                <c:pt idx="199">
                  <c:v>0.0538</c:v>
                </c:pt>
                <c:pt idx="200">
                  <c:v>0.0544</c:v>
                </c:pt>
                <c:pt idx="201">
                  <c:v>0.054</c:v>
                </c:pt>
                <c:pt idx="202">
                  <c:v>0.0539</c:v>
                </c:pt>
                <c:pt idx="203">
                  <c:v>0.0539</c:v>
                </c:pt>
                <c:pt idx="204">
                  <c:v>0.0552</c:v>
                </c:pt>
                <c:pt idx="205">
                  <c:v>0.0568</c:v>
                </c:pt>
                <c:pt idx="206">
                  <c:v>0.0582</c:v>
                </c:pt>
                <c:pt idx="207">
                  <c:v>0.0563</c:v>
                </c:pt>
                <c:pt idx="208">
                  <c:v>0.0544</c:v>
                </c:pt>
                <c:pt idx="209">
                  <c:v>0.054</c:v>
                </c:pt>
                <c:pt idx="210">
                  <c:v>0.0545</c:v>
                </c:pt>
                <c:pt idx="211">
                  <c:v>0.0542</c:v>
                </c:pt>
                <c:pt idx="212">
                  <c:v>0.0554</c:v>
                </c:pt>
                <c:pt idx="213">
                  <c:v>0.055</c:v>
                </c:pt>
                <c:pt idx="214">
                  <c:v>0.0543</c:v>
                </c:pt>
                <c:pt idx="215">
                  <c:v>0.0541</c:v>
                </c:pt>
                <c:pt idx="216">
                  <c:v>0.0537</c:v>
                </c:pt>
                <c:pt idx="217">
                  <c:v>0.0539</c:v>
                </c:pt>
                <c:pt idx="218">
                  <c:v>0.0563</c:v>
                </c:pt>
                <c:pt idx="219">
                  <c:v>0.0541</c:v>
                </c:pt>
                <c:pt idx="220">
                  <c:v>0.055</c:v>
                </c:pt>
                <c:pt idx="221">
                  <c:v>0.0552</c:v>
                </c:pt>
                <c:pt idx="222">
                  <c:v>0.0553</c:v>
                </c:pt>
                <c:pt idx="223">
                  <c:v>0.0545</c:v>
                </c:pt>
                <c:pt idx="224">
                  <c:v>0.0548</c:v>
                </c:pt>
                <c:pt idx="225">
                  <c:v>0.0552</c:v>
                </c:pt>
                <c:pt idx="226">
                  <c:v>0.0555</c:v>
                </c:pt>
                <c:pt idx="227">
                  <c:v>0.0557</c:v>
                </c:pt>
                <c:pt idx="228">
                  <c:v>0.0548</c:v>
                </c:pt>
                <c:pt idx="229">
                  <c:v>0.0549</c:v>
                </c:pt>
                <c:pt idx="230">
                  <c:v>0.0552</c:v>
                </c:pt>
                <c:pt idx="231">
                  <c:v>0.0554</c:v>
                </c:pt>
                <c:pt idx="232">
                  <c:v>0.0549</c:v>
                </c:pt>
                <c:pt idx="233">
                  <c:v>0.0544</c:v>
                </c:pt>
                <c:pt idx="234">
                  <c:v>0.0539</c:v>
                </c:pt>
                <c:pt idx="235">
                  <c:v>0.054</c:v>
                </c:pt>
                <c:pt idx="236">
                  <c:v>0.054</c:v>
                </c:pt>
                <c:pt idx="237">
                  <c:v>0.0539</c:v>
                </c:pt>
                <c:pt idx="238">
                  <c:v>0.0539</c:v>
                </c:pt>
                <c:pt idx="239">
                  <c:v>0.0539</c:v>
                </c:pt>
                <c:pt idx="240">
                  <c:v>0.0547</c:v>
                </c:pt>
                <c:pt idx="241">
                  <c:v>0.0548</c:v>
                </c:pt>
                <c:pt idx="242">
                  <c:v>0.0548</c:v>
                </c:pt>
                <c:pt idx="243">
                  <c:v>0.0549</c:v>
                </c:pt>
                <c:pt idx="244">
                  <c:v>0.056</c:v>
                </c:pt>
                <c:pt idx="245">
                  <c:v>0.0558</c:v>
                </c:pt>
                <c:pt idx="246">
                  <c:v>0.0558</c:v>
                </c:pt>
                <c:pt idx="247">
                  <c:v>0.0568</c:v>
                </c:pt>
                <c:pt idx="248">
                  <c:v>0.0558</c:v>
                </c:pt>
                <c:pt idx="249">
                  <c:v>0.0563</c:v>
                </c:pt>
                <c:pt idx="250">
                  <c:v>0.0564</c:v>
                </c:pt>
                <c:pt idx="251">
                  <c:v>0.0559</c:v>
                </c:pt>
                <c:pt idx="252">
                  <c:v>0.0574</c:v>
                </c:pt>
                <c:pt idx="253">
                  <c:v>0.054</c:v>
                </c:pt>
                <c:pt idx="254">
                  <c:v>0.054</c:v>
                </c:pt>
                <c:pt idx="255">
                  <c:v>0.0539</c:v>
                </c:pt>
                <c:pt idx="256">
                  <c:v>0.0539</c:v>
                </c:pt>
                <c:pt idx="257">
                  <c:v>0.0539</c:v>
                </c:pt>
                <c:pt idx="258">
                  <c:v>0.055</c:v>
                </c:pt>
                <c:pt idx="259">
                  <c:v>0.0566</c:v>
                </c:pt>
                <c:pt idx="260">
                  <c:v>0.0554</c:v>
                </c:pt>
                <c:pt idx="261">
                  <c:v>0.0548</c:v>
                </c:pt>
                <c:pt idx="262">
                  <c:v>0.0541</c:v>
                </c:pt>
                <c:pt idx="263">
                  <c:v>0.0545</c:v>
                </c:pt>
                <c:pt idx="264">
                  <c:v>0.0555</c:v>
                </c:pt>
                <c:pt idx="265">
                  <c:v>0.0564</c:v>
                </c:pt>
                <c:pt idx="266">
                  <c:v>0.0549</c:v>
                </c:pt>
                <c:pt idx="267">
                  <c:v>0.0552</c:v>
                </c:pt>
                <c:pt idx="268">
                  <c:v>0.0565</c:v>
                </c:pt>
                <c:pt idx="269">
                  <c:v>0.0564</c:v>
                </c:pt>
                <c:pt idx="270">
                  <c:v>0.0564</c:v>
                </c:pt>
                <c:pt idx="271">
                  <c:v>0.0564</c:v>
                </c:pt>
                <c:pt idx="272">
                  <c:v>0.0569</c:v>
                </c:pt>
                <c:pt idx="273">
                  <c:v>0.0549</c:v>
                </c:pt>
                <c:pt idx="274">
                  <c:v>0.0549</c:v>
                </c:pt>
                <c:pt idx="275">
                  <c:v>0.0546</c:v>
                </c:pt>
                <c:pt idx="276">
                  <c:v>0.0544</c:v>
                </c:pt>
                <c:pt idx="277">
                  <c:v>0.0539</c:v>
                </c:pt>
                <c:pt idx="278">
                  <c:v>0.0539</c:v>
                </c:pt>
                <c:pt idx="279">
                  <c:v>0.0539</c:v>
                </c:pt>
                <c:pt idx="280">
                  <c:v>0.0539</c:v>
                </c:pt>
                <c:pt idx="281">
                  <c:v>0.0558</c:v>
                </c:pt>
                <c:pt idx="282">
                  <c:v>0.0543</c:v>
                </c:pt>
                <c:pt idx="283">
                  <c:v>0.0544</c:v>
                </c:pt>
                <c:pt idx="284">
                  <c:v>0.0544</c:v>
                </c:pt>
                <c:pt idx="285">
                  <c:v>0.0548</c:v>
                </c:pt>
                <c:pt idx="286">
                  <c:v>0.0559</c:v>
                </c:pt>
                <c:pt idx="287">
                  <c:v>0.0559</c:v>
                </c:pt>
                <c:pt idx="288">
                  <c:v>0.0549</c:v>
                </c:pt>
                <c:pt idx="289">
                  <c:v>0.0544</c:v>
                </c:pt>
                <c:pt idx="290">
                  <c:v>0.0544</c:v>
                </c:pt>
                <c:pt idx="291">
                  <c:v>0.0559</c:v>
                </c:pt>
                <c:pt idx="292">
                  <c:v>0.0549</c:v>
                </c:pt>
                <c:pt idx="293">
                  <c:v>0.0539</c:v>
                </c:pt>
                <c:pt idx="294">
                  <c:v>0.0539</c:v>
                </c:pt>
                <c:pt idx="295">
                  <c:v>0.0547</c:v>
                </c:pt>
                <c:pt idx="296">
                  <c:v>0.0536</c:v>
                </c:pt>
                <c:pt idx="297">
                  <c:v>0.0524</c:v>
                </c:pt>
                <c:pt idx="298">
                  <c:v>0.0524</c:v>
                </c:pt>
                <c:pt idx="299">
                  <c:v>0.0524</c:v>
                </c:pt>
                <c:pt idx="300">
                  <c:v>0.0524</c:v>
                </c:pt>
                <c:pt idx="301">
                  <c:v>0.0524</c:v>
                </c:pt>
                <c:pt idx="302">
                  <c:v>0.053</c:v>
                </c:pt>
                <c:pt idx="303">
                  <c:v>0.0546</c:v>
                </c:pt>
                <c:pt idx="304">
                  <c:v>0.0555</c:v>
                </c:pt>
                <c:pt idx="305">
                  <c:v>0.0544</c:v>
                </c:pt>
                <c:pt idx="306">
                  <c:v>0.0543</c:v>
                </c:pt>
                <c:pt idx="307">
                  <c:v>0.0544</c:v>
                </c:pt>
                <c:pt idx="308">
                  <c:v>0.055</c:v>
                </c:pt>
                <c:pt idx="309">
                  <c:v>0.0553</c:v>
                </c:pt>
                <c:pt idx="310">
                  <c:v>0.0554</c:v>
                </c:pt>
                <c:pt idx="311">
                  <c:v>0.0557</c:v>
                </c:pt>
                <c:pt idx="312">
                  <c:v>0.0557</c:v>
                </c:pt>
                <c:pt idx="313">
                  <c:v>0.0567</c:v>
                </c:pt>
                <c:pt idx="314">
                  <c:v>0.0544</c:v>
                </c:pt>
                <c:pt idx="315">
                  <c:v>0.0544</c:v>
                </c:pt>
                <c:pt idx="316">
                  <c:v>0.0549</c:v>
                </c:pt>
                <c:pt idx="317">
                  <c:v>0.0539</c:v>
                </c:pt>
                <c:pt idx="318">
                  <c:v>0.0534</c:v>
                </c:pt>
                <c:pt idx="319">
                  <c:v>0.0544</c:v>
                </c:pt>
                <c:pt idx="320">
                  <c:v>0.0554</c:v>
                </c:pt>
                <c:pt idx="321">
                  <c:v>0.0539</c:v>
                </c:pt>
                <c:pt idx="322">
                  <c:v>0.0539</c:v>
                </c:pt>
                <c:pt idx="323">
                  <c:v>0.0543</c:v>
                </c:pt>
                <c:pt idx="324">
                  <c:v>0.0546</c:v>
                </c:pt>
                <c:pt idx="325">
                  <c:v>0.0549</c:v>
                </c:pt>
                <c:pt idx="326">
                  <c:v>0.0548</c:v>
                </c:pt>
                <c:pt idx="327">
                  <c:v>0.0549</c:v>
                </c:pt>
                <c:pt idx="328">
                  <c:v>0.0558</c:v>
                </c:pt>
                <c:pt idx="329">
                  <c:v>0.0544</c:v>
                </c:pt>
                <c:pt idx="330">
                  <c:v>0.0549</c:v>
                </c:pt>
                <c:pt idx="331">
                  <c:v>0.053</c:v>
                </c:pt>
                <c:pt idx="332">
                  <c:v>0.0535</c:v>
                </c:pt>
                <c:pt idx="333">
                  <c:v>0.0553</c:v>
                </c:pt>
                <c:pt idx="334">
                  <c:v>0.0528</c:v>
                </c:pt>
                <c:pt idx="335">
                  <c:v>0.0513</c:v>
                </c:pt>
                <c:pt idx="336">
                  <c:v>0.0504</c:v>
                </c:pt>
                <c:pt idx="337">
                  <c:v>0.0509</c:v>
                </c:pt>
                <c:pt idx="338">
                  <c:v>0.0509</c:v>
                </c:pt>
                <c:pt idx="339">
                  <c:v>0.0509</c:v>
                </c:pt>
                <c:pt idx="340">
                  <c:v>0.0509</c:v>
                </c:pt>
                <c:pt idx="341">
                  <c:v>0.0508</c:v>
                </c:pt>
                <c:pt idx="342">
                  <c:v>0.0509</c:v>
                </c:pt>
                <c:pt idx="343">
                  <c:v>0.0508</c:v>
                </c:pt>
                <c:pt idx="344">
                  <c:v>0.0514</c:v>
                </c:pt>
                <c:pt idx="345">
                  <c:v>0.0514</c:v>
                </c:pt>
                <c:pt idx="346">
                  <c:v>0.0513</c:v>
                </c:pt>
                <c:pt idx="347">
                  <c:v>0.0514</c:v>
                </c:pt>
                <c:pt idx="348">
                  <c:v>0.0517</c:v>
                </c:pt>
                <c:pt idx="349">
                  <c:v>0.0517</c:v>
                </c:pt>
                <c:pt idx="350">
                  <c:v>0.0514</c:v>
                </c:pt>
                <c:pt idx="351">
                  <c:v>0.0513</c:v>
                </c:pt>
                <c:pt idx="352">
                  <c:v>0.0517</c:v>
                </c:pt>
                <c:pt idx="353">
                  <c:v>0.0514</c:v>
                </c:pt>
                <c:pt idx="354">
                  <c:v>0.0516</c:v>
                </c:pt>
                <c:pt idx="355">
                  <c:v>0.0513</c:v>
                </c:pt>
                <c:pt idx="356">
                  <c:v>0.0513</c:v>
                </c:pt>
                <c:pt idx="357">
                  <c:v>0.0513</c:v>
                </c:pt>
                <c:pt idx="358">
                  <c:v>0.0512</c:v>
                </c:pt>
                <c:pt idx="359">
                  <c:v>0.0513</c:v>
                </c:pt>
                <c:pt idx="360">
                  <c:v>0.0512</c:v>
                </c:pt>
                <c:pt idx="361">
                  <c:v>0.0513</c:v>
                </c:pt>
                <c:pt idx="362">
                  <c:v>0.0538</c:v>
                </c:pt>
                <c:pt idx="363">
                  <c:v>0.0532</c:v>
                </c:pt>
                <c:pt idx="364">
                  <c:v>0.0534</c:v>
                </c:pt>
                <c:pt idx="365">
                  <c:v>0.054</c:v>
                </c:pt>
                <c:pt idx="366">
                  <c:v>0.0538</c:v>
                </c:pt>
                <c:pt idx="367">
                  <c:v>0.0539</c:v>
                </c:pt>
                <c:pt idx="368">
                  <c:v>0.0539</c:v>
                </c:pt>
                <c:pt idx="369">
                  <c:v>0.0554</c:v>
                </c:pt>
                <c:pt idx="370">
                  <c:v>0.0698</c:v>
                </c:pt>
                <c:pt idx="371">
                  <c:v>0.0524</c:v>
                </c:pt>
                <c:pt idx="372">
                  <c:v>0.0513</c:v>
                </c:pt>
                <c:pt idx="373">
                  <c:v>0.0513</c:v>
                </c:pt>
                <c:pt idx="374">
                  <c:v>0.0513</c:v>
                </c:pt>
                <c:pt idx="375">
                  <c:v>0.0513</c:v>
                </c:pt>
                <c:pt idx="376">
                  <c:v>0.0509</c:v>
                </c:pt>
                <c:pt idx="377">
                  <c:v>0.0509</c:v>
                </c:pt>
                <c:pt idx="378">
                  <c:v>0.0512</c:v>
                </c:pt>
                <c:pt idx="379">
                  <c:v>0.0513</c:v>
                </c:pt>
                <c:pt idx="380">
                  <c:v>0.0513</c:v>
                </c:pt>
                <c:pt idx="381">
                  <c:v>0.0513</c:v>
                </c:pt>
                <c:pt idx="382">
                  <c:v>0.0518</c:v>
                </c:pt>
                <c:pt idx="383">
                  <c:v>0.0538</c:v>
                </c:pt>
                <c:pt idx="384">
                  <c:v>0.0529</c:v>
                </c:pt>
                <c:pt idx="385">
                  <c:v>0.0514</c:v>
                </c:pt>
                <c:pt idx="386">
                  <c:v>0.0514</c:v>
                </c:pt>
                <c:pt idx="387">
                  <c:v>0.0519</c:v>
                </c:pt>
                <c:pt idx="388">
                  <c:v>0.0519</c:v>
                </c:pt>
                <c:pt idx="389">
                  <c:v>0.0534</c:v>
                </c:pt>
                <c:pt idx="390">
                  <c:v>0.0523</c:v>
                </c:pt>
                <c:pt idx="391">
                  <c:v>0.0523</c:v>
                </c:pt>
                <c:pt idx="392">
                  <c:v>0.0522</c:v>
                </c:pt>
                <c:pt idx="393">
                  <c:v>0.0523</c:v>
                </c:pt>
                <c:pt idx="394">
                  <c:v>0.0523</c:v>
                </c:pt>
                <c:pt idx="395">
                  <c:v>0.0538</c:v>
                </c:pt>
                <c:pt idx="396">
                  <c:v>0.0532</c:v>
                </c:pt>
                <c:pt idx="397">
                  <c:v>0.0531</c:v>
                </c:pt>
                <c:pt idx="398">
                  <c:v>0.0527</c:v>
                </c:pt>
                <c:pt idx="399">
                  <c:v>0.0527</c:v>
                </c:pt>
                <c:pt idx="400">
                  <c:v>0.0523</c:v>
                </c:pt>
                <c:pt idx="401">
                  <c:v>0.0527</c:v>
                </c:pt>
                <c:pt idx="402">
                  <c:v>0.0528</c:v>
                </c:pt>
                <c:pt idx="403">
                  <c:v>0.0533</c:v>
                </c:pt>
                <c:pt idx="404">
                  <c:v>0.0543</c:v>
                </c:pt>
                <c:pt idx="405">
                  <c:v>0.0543</c:v>
                </c:pt>
                <c:pt idx="406">
                  <c:v>0.0543</c:v>
                </c:pt>
                <c:pt idx="407">
                  <c:v>0.0543</c:v>
                </c:pt>
                <c:pt idx="408">
                  <c:v>0.0552</c:v>
                </c:pt>
                <c:pt idx="409">
                  <c:v>0.0534</c:v>
                </c:pt>
                <c:pt idx="410">
                  <c:v>0.0534</c:v>
                </c:pt>
                <c:pt idx="411">
                  <c:v>0.0533</c:v>
                </c:pt>
                <c:pt idx="412">
                  <c:v>0.0533</c:v>
                </c:pt>
                <c:pt idx="413">
                  <c:v>0.0536</c:v>
                </c:pt>
                <c:pt idx="414">
                  <c:v>0.0538</c:v>
                </c:pt>
                <c:pt idx="415">
                  <c:v>0.0533</c:v>
                </c:pt>
                <c:pt idx="416">
                  <c:v>0.0533</c:v>
                </c:pt>
                <c:pt idx="417">
                  <c:v>0.0533</c:v>
                </c:pt>
                <c:pt idx="418">
                  <c:v>0.0533</c:v>
                </c:pt>
                <c:pt idx="419">
                  <c:v>0.0533</c:v>
                </c:pt>
                <c:pt idx="420">
                  <c:v>0.0542</c:v>
                </c:pt>
                <c:pt idx="421">
                  <c:v>0.054</c:v>
                </c:pt>
                <c:pt idx="422">
                  <c:v>0.0541</c:v>
                </c:pt>
                <c:pt idx="423">
                  <c:v>0.054</c:v>
                </c:pt>
                <c:pt idx="424">
                  <c:v>0.0538</c:v>
                </c:pt>
                <c:pt idx="425">
                  <c:v>0.0544</c:v>
                </c:pt>
                <c:pt idx="426">
                  <c:v>0.0543</c:v>
                </c:pt>
                <c:pt idx="427">
                  <c:v>0.0543</c:v>
                </c:pt>
                <c:pt idx="428">
                  <c:v>0.0543</c:v>
                </c:pt>
                <c:pt idx="429">
                  <c:v>0.055</c:v>
                </c:pt>
                <c:pt idx="430">
                  <c:v>0.0531</c:v>
                </c:pt>
                <c:pt idx="431">
                  <c:v>0.0533</c:v>
                </c:pt>
                <c:pt idx="432">
                  <c:v>0.0533</c:v>
                </c:pt>
                <c:pt idx="433">
                  <c:v>0.0529</c:v>
                </c:pt>
                <c:pt idx="434">
                  <c:v>0.0529</c:v>
                </c:pt>
                <c:pt idx="435">
                  <c:v>0.053</c:v>
                </c:pt>
                <c:pt idx="436">
                  <c:v>0.054</c:v>
                </c:pt>
                <c:pt idx="437">
                  <c:v>0.0539</c:v>
                </c:pt>
                <c:pt idx="438">
                  <c:v>0.0534</c:v>
                </c:pt>
                <c:pt idx="439">
                  <c:v>0.0527</c:v>
                </c:pt>
                <c:pt idx="440">
                  <c:v>0.0527</c:v>
                </c:pt>
                <c:pt idx="441">
                  <c:v>0.0536</c:v>
                </c:pt>
                <c:pt idx="442">
                  <c:v>0.0544</c:v>
                </c:pt>
                <c:pt idx="443">
                  <c:v>0.0539</c:v>
                </c:pt>
                <c:pt idx="444">
                  <c:v>0.0539</c:v>
                </c:pt>
                <c:pt idx="445">
                  <c:v>0.0544</c:v>
                </c:pt>
                <c:pt idx="446">
                  <c:v>0.0534</c:v>
                </c:pt>
                <c:pt idx="447">
                  <c:v>0.0514</c:v>
                </c:pt>
                <c:pt idx="448">
                  <c:v>0.0525</c:v>
                </c:pt>
                <c:pt idx="449">
                  <c:v>0.0535</c:v>
                </c:pt>
                <c:pt idx="450">
                  <c:v>0.0536</c:v>
                </c:pt>
                <c:pt idx="451">
                  <c:v>0.0534</c:v>
                </c:pt>
                <c:pt idx="452">
                  <c:v>0.0541</c:v>
                </c:pt>
                <c:pt idx="453">
                  <c:v>0.0514</c:v>
                </c:pt>
                <c:pt idx="454">
                  <c:v>0.0509</c:v>
                </c:pt>
                <c:pt idx="455">
                  <c:v>0.0509</c:v>
                </c:pt>
                <c:pt idx="456">
                  <c:v>0.0524</c:v>
                </c:pt>
                <c:pt idx="457">
                  <c:v>0.0514</c:v>
                </c:pt>
                <c:pt idx="458">
                  <c:v>0.0513</c:v>
                </c:pt>
                <c:pt idx="459">
                  <c:v>0.0513</c:v>
                </c:pt>
                <c:pt idx="460">
                  <c:v>0.0514</c:v>
                </c:pt>
                <c:pt idx="461">
                  <c:v>0.0524</c:v>
                </c:pt>
                <c:pt idx="462">
                  <c:v>0.0528</c:v>
                </c:pt>
                <c:pt idx="463">
                  <c:v>0.0524</c:v>
                </c:pt>
                <c:pt idx="464">
                  <c:v>0.0516</c:v>
                </c:pt>
                <c:pt idx="465">
                  <c:v>0.0519</c:v>
                </c:pt>
                <c:pt idx="466">
                  <c:v>0.0519</c:v>
                </c:pt>
                <c:pt idx="467">
                  <c:v>0.0523</c:v>
                </c:pt>
                <c:pt idx="468">
                  <c:v>0.0524</c:v>
                </c:pt>
                <c:pt idx="469">
                  <c:v>0.0522</c:v>
                </c:pt>
                <c:pt idx="470">
                  <c:v>0.0524</c:v>
                </c:pt>
                <c:pt idx="471">
                  <c:v>0.0524</c:v>
                </c:pt>
                <c:pt idx="472">
                  <c:v>0.0524</c:v>
                </c:pt>
                <c:pt idx="473">
                  <c:v>0.0523</c:v>
                </c:pt>
                <c:pt idx="474">
                  <c:v>0.0508</c:v>
                </c:pt>
                <c:pt idx="475">
                  <c:v>0.0501</c:v>
                </c:pt>
                <c:pt idx="476">
                  <c:v>0.0491</c:v>
                </c:pt>
                <c:pt idx="477">
                  <c:v>0.0503</c:v>
                </c:pt>
                <c:pt idx="478">
                  <c:v>0.0503</c:v>
                </c:pt>
                <c:pt idx="479">
                  <c:v>0.0504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HullWhite!L1</c:f>
              <c:strCache>
                <c:ptCount val="1"/>
                <c:pt idx="0">
                  <c:v>Theta_smooth (60-day avg)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HullWhite!$A$2:$A$481</c:f>
              <c:strCache>
                <c:ptCount val="480"/>
                <c:pt idx="0">
                  <c:v>16-Sep-24</c:v>
                </c:pt>
                <c:pt idx="1">
                  <c:v>17-Sep-24</c:v>
                </c:pt>
                <c:pt idx="2">
                  <c:v>19-Sep-24</c:v>
                </c:pt>
                <c:pt idx="3">
                  <c:v>20-Sep-24</c:v>
                </c:pt>
                <c:pt idx="4">
                  <c:v>23-Sep-24</c:v>
                </c:pt>
                <c:pt idx="5">
                  <c:v>24-Sep-24</c:v>
                </c:pt>
                <c:pt idx="6">
                  <c:v>25-Sep-24</c:v>
                </c:pt>
                <c:pt idx="7">
                  <c:v>26-Sep-24</c:v>
                </c:pt>
                <c:pt idx="8">
                  <c:v>27-Sep-24</c:v>
                </c:pt>
                <c:pt idx="9">
                  <c:v>30-Sep-24</c:v>
                </c:pt>
                <c:pt idx="10">
                  <c:v>01-Oct-24</c:v>
                </c:pt>
                <c:pt idx="11">
                  <c:v>03-Oct-24</c:v>
                </c:pt>
                <c:pt idx="12">
                  <c:v>04-Oct-24</c:v>
                </c:pt>
                <c:pt idx="13">
                  <c:v>07-Oct-24</c:v>
                </c:pt>
                <c:pt idx="14">
                  <c:v>08-Oct-24</c:v>
                </c:pt>
                <c:pt idx="15">
                  <c:v>09-Oct-24</c:v>
                </c:pt>
                <c:pt idx="16">
                  <c:v>10-Oct-24</c:v>
                </c:pt>
                <c:pt idx="17">
                  <c:v>11-Oct-24</c:v>
                </c:pt>
                <c:pt idx="18">
                  <c:v>14-Oct-24</c:v>
                </c:pt>
                <c:pt idx="19">
                  <c:v>15-Oct-24</c:v>
                </c:pt>
                <c:pt idx="20">
                  <c:v>16-Oct-24</c:v>
                </c:pt>
                <c:pt idx="21">
                  <c:v>17-Oct-24</c:v>
                </c:pt>
                <c:pt idx="22">
                  <c:v>18-Oct-24</c:v>
                </c:pt>
                <c:pt idx="23">
                  <c:v>21-Oct-24</c:v>
                </c:pt>
                <c:pt idx="24">
                  <c:v>22-Oct-24</c:v>
                </c:pt>
                <c:pt idx="25">
                  <c:v>23-Oct-24</c:v>
                </c:pt>
                <c:pt idx="26">
                  <c:v>24-Oct-24</c:v>
                </c:pt>
                <c:pt idx="27">
                  <c:v>25-Oct-24</c:v>
                </c:pt>
                <c:pt idx="28">
                  <c:v>28-Oct-24</c:v>
                </c:pt>
                <c:pt idx="29">
                  <c:v>29-Oct-24</c:v>
                </c:pt>
                <c:pt idx="30">
                  <c:v>30-Oct-24</c:v>
                </c:pt>
                <c:pt idx="31">
                  <c:v>31-Oct-24</c:v>
                </c:pt>
                <c:pt idx="32">
                  <c:v>04-Nov-24</c:v>
                </c:pt>
                <c:pt idx="33">
                  <c:v>05-Nov-24</c:v>
                </c:pt>
                <c:pt idx="34">
                  <c:v>06-Nov-24</c:v>
                </c:pt>
                <c:pt idx="35">
                  <c:v>07-Nov-24</c:v>
                </c:pt>
                <c:pt idx="36">
                  <c:v>08-Nov-24</c:v>
                </c:pt>
                <c:pt idx="37">
                  <c:v>11-Nov-24</c:v>
                </c:pt>
                <c:pt idx="38">
                  <c:v>12-Nov-24</c:v>
                </c:pt>
                <c:pt idx="39">
                  <c:v>13-Nov-24</c:v>
                </c:pt>
                <c:pt idx="40">
                  <c:v>14-Nov-24</c:v>
                </c:pt>
                <c:pt idx="41">
                  <c:v>18-Nov-24</c:v>
                </c:pt>
                <c:pt idx="42">
                  <c:v>19-Nov-24</c:v>
                </c:pt>
                <c:pt idx="43">
                  <c:v>21-Nov-24</c:v>
                </c:pt>
                <c:pt idx="44">
                  <c:v>22-Nov-24</c:v>
                </c:pt>
                <c:pt idx="45">
                  <c:v>25-Nov-24</c:v>
                </c:pt>
                <c:pt idx="46">
                  <c:v>26-Nov-24</c:v>
                </c:pt>
                <c:pt idx="47">
                  <c:v>27-Nov-24</c:v>
                </c:pt>
                <c:pt idx="48">
                  <c:v>28-Nov-24</c:v>
                </c:pt>
                <c:pt idx="49">
                  <c:v>29-Nov-24</c:v>
                </c:pt>
                <c:pt idx="50">
                  <c:v>02-Dec-24</c:v>
                </c:pt>
                <c:pt idx="51">
                  <c:v>03-Dec-24</c:v>
                </c:pt>
                <c:pt idx="52">
                  <c:v>04-Dec-24</c:v>
                </c:pt>
                <c:pt idx="53">
                  <c:v>05-Dec-24</c:v>
                </c:pt>
                <c:pt idx="54">
                  <c:v>06-Dec-24</c:v>
                </c:pt>
                <c:pt idx="55">
                  <c:v>09-Dec-24</c:v>
                </c:pt>
                <c:pt idx="56">
                  <c:v>10-Dec-24</c:v>
                </c:pt>
                <c:pt idx="57">
                  <c:v>11-Dec-24</c:v>
                </c:pt>
                <c:pt idx="58">
                  <c:v>12-Dec-24</c:v>
                </c:pt>
                <c:pt idx="59">
                  <c:v>13-Dec-24</c:v>
                </c:pt>
                <c:pt idx="60">
                  <c:v>16-Dec-24</c:v>
                </c:pt>
                <c:pt idx="61">
                  <c:v>17-Dec-24</c:v>
                </c:pt>
                <c:pt idx="62">
                  <c:v>18-Dec-24</c:v>
                </c:pt>
                <c:pt idx="63">
                  <c:v>19-Dec-24</c:v>
                </c:pt>
                <c:pt idx="64">
                  <c:v>20-Dec-24</c:v>
                </c:pt>
                <c:pt idx="65">
                  <c:v>23-Dec-24</c:v>
                </c:pt>
                <c:pt idx="66">
                  <c:v>24-Dec-24</c:v>
                </c:pt>
                <c:pt idx="67">
                  <c:v>26-Dec-24</c:v>
                </c:pt>
                <c:pt idx="68">
                  <c:v>27-Dec-24</c:v>
                </c:pt>
                <c:pt idx="69">
                  <c:v>30-Dec-24</c:v>
                </c:pt>
                <c:pt idx="70">
                  <c:v>31-Dec-24</c:v>
                </c:pt>
                <c:pt idx="71">
                  <c:v>01-Jan-25</c:v>
                </c:pt>
                <c:pt idx="72">
                  <c:v>02-Jan-25</c:v>
                </c:pt>
                <c:pt idx="73">
                  <c:v>03-Jan-25</c:v>
                </c:pt>
                <c:pt idx="74">
                  <c:v>06-Jan-25</c:v>
                </c:pt>
                <c:pt idx="75">
                  <c:v>07-Jan-25</c:v>
                </c:pt>
                <c:pt idx="76">
                  <c:v>08-Jan-25</c:v>
                </c:pt>
                <c:pt idx="77">
                  <c:v>09-Jan-25</c:v>
                </c:pt>
                <c:pt idx="78">
                  <c:v>10-Jan-25</c:v>
                </c:pt>
                <c:pt idx="79">
                  <c:v>13-Jan-25</c:v>
                </c:pt>
                <c:pt idx="80">
                  <c:v>14-Jan-25</c:v>
                </c:pt>
                <c:pt idx="81">
                  <c:v>15-Jan-25</c:v>
                </c:pt>
                <c:pt idx="82">
                  <c:v>16-Jan-25</c:v>
                </c:pt>
                <c:pt idx="83">
                  <c:v>17-Jan-25</c:v>
                </c:pt>
                <c:pt idx="84">
                  <c:v>20-Jan-25</c:v>
                </c:pt>
                <c:pt idx="85">
                  <c:v>21-Jan-25</c:v>
                </c:pt>
                <c:pt idx="86">
                  <c:v>22-Jan-25</c:v>
                </c:pt>
                <c:pt idx="87">
                  <c:v>23-Jan-25</c:v>
                </c:pt>
                <c:pt idx="88">
                  <c:v>24-Jan-25</c:v>
                </c:pt>
                <c:pt idx="89">
                  <c:v>27-Jan-25</c:v>
                </c:pt>
                <c:pt idx="90">
                  <c:v>28-Jan-25</c:v>
                </c:pt>
                <c:pt idx="91">
                  <c:v>29-Jan-25</c:v>
                </c:pt>
                <c:pt idx="92">
                  <c:v>30-Jan-25</c:v>
                </c:pt>
                <c:pt idx="93">
                  <c:v>31-Jan-25</c:v>
                </c:pt>
                <c:pt idx="94">
                  <c:v>03-Feb-25</c:v>
                </c:pt>
                <c:pt idx="95">
                  <c:v>04-Feb-25</c:v>
                </c:pt>
                <c:pt idx="96">
                  <c:v>05-Feb-25</c:v>
                </c:pt>
                <c:pt idx="97">
                  <c:v>06-Feb-25</c:v>
                </c:pt>
                <c:pt idx="98">
                  <c:v>07-Feb-25</c:v>
                </c:pt>
                <c:pt idx="99">
                  <c:v>10-Feb-25</c:v>
                </c:pt>
                <c:pt idx="100">
                  <c:v>11-Feb-25</c:v>
                </c:pt>
                <c:pt idx="101">
                  <c:v>12-Feb-25</c:v>
                </c:pt>
                <c:pt idx="102">
                  <c:v>13-Feb-25</c:v>
                </c:pt>
                <c:pt idx="103">
                  <c:v>14-Feb-25</c:v>
                </c:pt>
                <c:pt idx="104">
                  <c:v>17-Feb-25</c:v>
                </c:pt>
                <c:pt idx="105">
                  <c:v>18-Feb-25</c:v>
                </c:pt>
                <c:pt idx="106">
                  <c:v>20-Feb-25</c:v>
                </c:pt>
                <c:pt idx="107">
                  <c:v>21-Feb-25</c:v>
                </c:pt>
                <c:pt idx="108">
                  <c:v>24-Feb-25</c:v>
                </c:pt>
                <c:pt idx="109">
                  <c:v>25-Feb-25</c:v>
                </c:pt>
                <c:pt idx="110">
                  <c:v>27-Feb-25</c:v>
                </c:pt>
                <c:pt idx="111">
                  <c:v>28-Feb-25</c:v>
                </c:pt>
                <c:pt idx="112">
                  <c:v>03-Mar-25</c:v>
                </c:pt>
                <c:pt idx="113">
                  <c:v>04-Mar-25</c:v>
                </c:pt>
                <c:pt idx="114">
                  <c:v>05-Mar-25</c:v>
                </c:pt>
                <c:pt idx="115">
                  <c:v>06-Mar-25</c:v>
                </c:pt>
                <c:pt idx="116">
                  <c:v>07-Mar-25</c:v>
                </c:pt>
                <c:pt idx="117">
                  <c:v>10-Mar-25</c:v>
                </c:pt>
                <c:pt idx="118">
                  <c:v>11-Mar-25</c:v>
                </c:pt>
                <c:pt idx="119">
                  <c:v>12-Mar-25</c:v>
                </c:pt>
                <c:pt idx="120">
                  <c:v>13-Mar-25</c:v>
                </c:pt>
                <c:pt idx="121">
                  <c:v>17-Mar-25</c:v>
                </c:pt>
                <c:pt idx="122">
                  <c:v>18-Mar-25</c:v>
                </c:pt>
                <c:pt idx="123">
                  <c:v>19-Mar-25</c:v>
                </c:pt>
                <c:pt idx="124">
                  <c:v>20-Mar-25</c:v>
                </c:pt>
                <c:pt idx="125">
                  <c:v>21-Mar-25</c:v>
                </c:pt>
                <c:pt idx="126">
                  <c:v>24-Mar-25</c:v>
                </c:pt>
                <c:pt idx="127">
                  <c:v>25-Mar-25</c:v>
                </c:pt>
                <c:pt idx="128">
                  <c:v>26-Mar-25</c:v>
                </c:pt>
                <c:pt idx="129">
                  <c:v>27-Mar-25</c:v>
                </c:pt>
                <c:pt idx="130">
                  <c:v>28-Mar-25</c:v>
                </c:pt>
                <c:pt idx="131">
                  <c:v>02-Apr-25</c:v>
                </c:pt>
                <c:pt idx="132">
                  <c:v>03-Apr-25</c:v>
                </c:pt>
                <c:pt idx="133">
                  <c:v>04-Apr-25</c:v>
                </c:pt>
                <c:pt idx="134">
                  <c:v>07-Apr-25</c:v>
                </c:pt>
                <c:pt idx="135">
                  <c:v>08-Apr-25</c:v>
                </c:pt>
                <c:pt idx="136">
                  <c:v>09-Apr-25</c:v>
                </c:pt>
                <c:pt idx="137">
                  <c:v>11-Apr-25</c:v>
                </c:pt>
                <c:pt idx="138">
                  <c:v>15-Apr-25</c:v>
                </c:pt>
                <c:pt idx="139">
                  <c:v>16-Apr-25</c:v>
                </c:pt>
                <c:pt idx="140">
                  <c:v>17-Apr-25</c:v>
                </c:pt>
                <c:pt idx="141">
                  <c:v>21-Apr-25</c:v>
                </c:pt>
                <c:pt idx="142">
                  <c:v>22-Apr-25</c:v>
                </c:pt>
                <c:pt idx="143">
                  <c:v>23-Apr-25</c:v>
                </c:pt>
                <c:pt idx="144">
                  <c:v>24-Apr-25</c:v>
                </c:pt>
                <c:pt idx="145">
                  <c:v>25-Apr-25</c:v>
                </c:pt>
                <c:pt idx="146">
                  <c:v>28-Apr-25</c:v>
                </c:pt>
                <c:pt idx="147">
                  <c:v>29-Apr-25</c:v>
                </c:pt>
                <c:pt idx="148">
                  <c:v>30-Apr-25</c:v>
                </c:pt>
                <c:pt idx="149">
                  <c:v>02-May-25</c:v>
                </c:pt>
                <c:pt idx="150">
                  <c:v>05-May-25</c:v>
                </c:pt>
                <c:pt idx="151">
                  <c:v>06-May-25</c:v>
                </c:pt>
                <c:pt idx="152">
                  <c:v>07-May-25</c:v>
                </c:pt>
                <c:pt idx="153">
                  <c:v>08-May-25</c:v>
                </c:pt>
                <c:pt idx="154">
                  <c:v>09-May-25</c:v>
                </c:pt>
                <c:pt idx="155">
                  <c:v>13-May-25</c:v>
                </c:pt>
                <c:pt idx="156">
                  <c:v>14-May-25</c:v>
                </c:pt>
                <c:pt idx="157">
                  <c:v>15-May-25</c:v>
                </c:pt>
                <c:pt idx="158">
                  <c:v>16-May-25</c:v>
                </c:pt>
                <c:pt idx="159">
                  <c:v>19-May-25</c:v>
                </c:pt>
                <c:pt idx="160">
                  <c:v>20-May-25</c:v>
                </c:pt>
                <c:pt idx="161">
                  <c:v>21-May-25</c:v>
                </c:pt>
                <c:pt idx="162">
                  <c:v>22-May-25</c:v>
                </c:pt>
                <c:pt idx="163">
                  <c:v>23-May-25</c:v>
                </c:pt>
                <c:pt idx="164">
                  <c:v>26-May-25</c:v>
                </c:pt>
                <c:pt idx="165">
                  <c:v>27-May-25</c:v>
                </c:pt>
                <c:pt idx="166">
                  <c:v>28-May-25</c:v>
                </c:pt>
                <c:pt idx="167">
                  <c:v>29-May-25</c:v>
                </c:pt>
                <c:pt idx="168">
                  <c:v>30-May-25</c:v>
                </c:pt>
                <c:pt idx="169">
                  <c:v>02-Jun-25</c:v>
                </c:pt>
                <c:pt idx="170">
                  <c:v>03-Jun-25</c:v>
                </c:pt>
                <c:pt idx="171">
                  <c:v>04-Jun-25</c:v>
                </c:pt>
                <c:pt idx="172">
                  <c:v>05-Jun-25</c:v>
                </c:pt>
                <c:pt idx="173">
                  <c:v>06-Jun-25</c:v>
                </c:pt>
                <c:pt idx="174">
                  <c:v>09-Jun-25</c:v>
                </c:pt>
                <c:pt idx="175">
                  <c:v>10-Jun-25</c:v>
                </c:pt>
                <c:pt idx="176">
                  <c:v>11-Jun-25</c:v>
                </c:pt>
                <c:pt idx="177">
                  <c:v>12-Jun-25</c:v>
                </c:pt>
                <c:pt idx="178">
                  <c:v>13-Jun-25</c:v>
                </c:pt>
                <c:pt idx="179">
                  <c:v>16-Jun-25</c:v>
                </c:pt>
                <c:pt idx="180">
                  <c:v>17-Jun-25</c:v>
                </c:pt>
                <c:pt idx="181">
                  <c:v>18-Jun-25</c:v>
                </c:pt>
                <c:pt idx="182">
                  <c:v>19-Jun-25</c:v>
                </c:pt>
                <c:pt idx="183">
                  <c:v>20-Jun-25</c:v>
                </c:pt>
                <c:pt idx="184">
                  <c:v>23-Jun-25</c:v>
                </c:pt>
                <c:pt idx="185">
                  <c:v>24-Jun-25</c:v>
                </c:pt>
                <c:pt idx="186">
                  <c:v>25-Jun-25</c:v>
                </c:pt>
                <c:pt idx="187">
                  <c:v>26-Jun-25</c:v>
                </c:pt>
                <c:pt idx="188">
                  <c:v>27-Jun-25</c:v>
                </c:pt>
                <c:pt idx="189">
                  <c:v>30-Jun-25</c:v>
                </c:pt>
                <c:pt idx="190">
                  <c:v>01-Jul-25</c:v>
                </c:pt>
                <c:pt idx="191">
                  <c:v>02-Jul-25</c:v>
                </c:pt>
                <c:pt idx="192">
                  <c:v>03-Jul-25</c:v>
                </c:pt>
                <c:pt idx="193">
                  <c:v>04-Jul-25</c:v>
                </c:pt>
                <c:pt idx="194">
                  <c:v>07-Jul-25</c:v>
                </c:pt>
                <c:pt idx="195">
                  <c:v>08-Jul-25</c:v>
                </c:pt>
                <c:pt idx="196">
                  <c:v>09-Jul-25</c:v>
                </c:pt>
                <c:pt idx="197">
                  <c:v>10-Jul-25</c:v>
                </c:pt>
                <c:pt idx="198">
                  <c:v>11-Jul-25</c:v>
                </c:pt>
                <c:pt idx="199">
                  <c:v>14-Jul-25</c:v>
                </c:pt>
                <c:pt idx="200">
                  <c:v>15-Jul-25</c:v>
                </c:pt>
                <c:pt idx="201">
                  <c:v>16-Jul-25</c:v>
                </c:pt>
                <c:pt idx="202">
                  <c:v>17-Jul-25</c:v>
                </c:pt>
                <c:pt idx="203">
                  <c:v>18-Jul-25</c:v>
                </c:pt>
                <c:pt idx="204">
                  <c:v>21-Jul-25</c:v>
                </c:pt>
                <c:pt idx="205">
                  <c:v>22-Jul-25</c:v>
                </c:pt>
                <c:pt idx="206">
                  <c:v>23-Jul-25</c:v>
                </c:pt>
                <c:pt idx="207">
                  <c:v>24-Jul-25</c:v>
                </c:pt>
                <c:pt idx="208">
                  <c:v>25-Jul-25</c:v>
                </c:pt>
                <c:pt idx="209">
                  <c:v>28-Jul-25</c:v>
                </c:pt>
                <c:pt idx="210">
                  <c:v>29-Jul-25</c:v>
                </c:pt>
                <c:pt idx="211">
                  <c:v>30-Jul-25</c:v>
                </c:pt>
                <c:pt idx="212">
                  <c:v>31-Jul-25</c:v>
                </c:pt>
                <c:pt idx="213">
                  <c:v>01-Aug-25</c:v>
                </c:pt>
                <c:pt idx="214">
                  <c:v>04-Aug-25</c:v>
                </c:pt>
                <c:pt idx="215">
                  <c:v>05-Aug-25</c:v>
                </c:pt>
                <c:pt idx="216">
                  <c:v>06-Aug-25</c:v>
                </c:pt>
                <c:pt idx="217">
                  <c:v>07-Aug-25</c:v>
                </c:pt>
                <c:pt idx="218">
                  <c:v>08-Aug-25</c:v>
                </c:pt>
                <c:pt idx="219">
                  <c:v>11-Aug-25</c:v>
                </c:pt>
                <c:pt idx="220">
                  <c:v>12-Aug-25</c:v>
                </c:pt>
                <c:pt idx="221">
                  <c:v>13-Aug-25</c:v>
                </c:pt>
                <c:pt idx="222">
                  <c:v>14-Aug-25</c:v>
                </c:pt>
                <c:pt idx="223">
                  <c:v>18-Aug-25</c:v>
                </c:pt>
                <c:pt idx="224">
                  <c:v>19-Aug-25</c:v>
                </c:pt>
                <c:pt idx="225">
                  <c:v>20-Aug-25</c:v>
                </c:pt>
                <c:pt idx="226">
                  <c:v>21-Aug-25</c:v>
                </c:pt>
                <c:pt idx="227">
                  <c:v>22-Aug-25</c:v>
                </c:pt>
                <c:pt idx="228">
                  <c:v>25-Aug-25</c:v>
                </c:pt>
                <c:pt idx="229">
                  <c:v>26-Aug-25</c:v>
                </c:pt>
                <c:pt idx="230">
                  <c:v>28-Aug-25</c:v>
                </c:pt>
                <c:pt idx="231">
                  <c:v>29-Aug-25</c:v>
                </c:pt>
                <c:pt idx="232">
                  <c:v>01-Sep-25</c:v>
                </c:pt>
                <c:pt idx="233">
                  <c:v>02-Sep-25</c:v>
                </c:pt>
                <c:pt idx="234">
                  <c:v>03-Sep-25</c:v>
                </c:pt>
                <c:pt idx="235">
                  <c:v>04-Sep-25</c:v>
                </c:pt>
                <c:pt idx="236">
                  <c:v>05-Sep-25</c:v>
                </c:pt>
                <c:pt idx="237">
                  <c:v>09-Sep-25</c:v>
                </c:pt>
                <c:pt idx="238">
                  <c:v>10-Sep-25</c:v>
                </c:pt>
                <c:pt idx="239">
                  <c:v>11-Sep-25</c:v>
                </c:pt>
                <c:pt idx="240">
                  <c:v>12-Sep-25</c:v>
                </c:pt>
                <c:pt idx="241">
                  <c:v>15-Sep-25</c:v>
                </c:pt>
                <c:pt idx="242">
                  <c:v>16-Sep-25</c:v>
                </c:pt>
                <c:pt idx="243">
                  <c:v>17-Sep-25</c:v>
                </c:pt>
                <c:pt idx="244">
                  <c:v>18-Sep-25</c:v>
                </c:pt>
                <c:pt idx="245">
                  <c:v>19-Sep-25</c:v>
                </c:pt>
                <c:pt idx="246">
                  <c:v>22-Sep-25</c:v>
                </c:pt>
                <c:pt idx="247">
                  <c:v>23-Sep-25</c:v>
                </c:pt>
                <c:pt idx="248">
                  <c:v>24-Sep-25</c:v>
                </c:pt>
                <c:pt idx="249">
                  <c:v>25-Sep-25</c:v>
                </c:pt>
                <c:pt idx="250">
                  <c:v>26-Sep-25</c:v>
                </c:pt>
                <c:pt idx="251">
                  <c:v>29-Sep-25</c:v>
                </c:pt>
                <c:pt idx="252">
                  <c:v>30-Sep-25</c:v>
                </c:pt>
                <c:pt idx="253">
                  <c:v>01-Oct-25</c:v>
                </c:pt>
                <c:pt idx="254">
                  <c:v>03-Oct-25</c:v>
                </c:pt>
                <c:pt idx="255">
                  <c:v>06-Oct-25</c:v>
                </c:pt>
                <c:pt idx="256">
                  <c:v>07-Oct-25</c:v>
                </c:pt>
                <c:pt idx="257">
                  <c:v>08-Oct-25</c:v>
                </c:pt>
                <c:pt idx="258">
                  <c:v>09-Oct-25</c:v>
                </c:pt>
                <c:pt idx="259">
                  <c:v>10-Oct-25</c:v>
                </c:pt>
                <c:pt idx="260">
                  <c:v>13-Oct-25</c:v>
                </c:pt>
                <c:pt idx="261">
                  <c:v>14-Oct-25</c:v>
                </c:pt>
                <c:pt idx="262">
                  <c:v>15-Oct-25</c:v>
                </c:pt>
                <c:pt idx="263">
                  <c:v>16-Oct-25</c:v>
                </c:pt>
                <c:pt idx="264">
                  <c:v>17-Oct-25</c:v>
                </c:pt>
                <c:pt idx="265">
                  <c:v>20-Oct-25</c:v>
                </c:pt>
                <c:pt idx="266">
                  <c:v>23-Oct-25</c:v>
                </c:pt>
                <c:pt idx="267">
                  <c:v>24-Oct-25</c:v>
                </c:pt>
                <c:pt idx="268">
                  <c:v>27-Oct-25</c:v>
                </c:pt>
                <c:pt idx="269">
                  <c:v>28-Oct-25</c:v>
                </c:pt>
                <c:pt idx="270">
                  <c:v>29-Oct-25</c:v>
                </c:pt>
                <c:pt idx="271">
                  <c:v>30-Oct-25</c:v>
                </c:pt>
                <c:pt idx="272">
                  <c:v>31-Oct-25</c:v>
                </c:pt>
                <c:pt idx="273">
                  <c:v>03-Nov-25</c:v>
                </c:pt>
                <c:pt idx="274">
                  <c:v>04-Nov-25</c:v>
                </c:pt>
                <c:pt idx="275">
                  <c:v>06-Nov-25</c:v>
                </c:pt>
                <c:pt idx="276">
                  <c:v>07-Nov-25</c:v>
                </c:pt>
                <c:pt idx="277">
                  <c:v>10-Nov-25</c:v>
                </c:pt>
                <c:pt idx="278">
                  <c:v>11-Nov-25</c:v>
                </c:pt>
                <c:pt idx="279">
                  <c:v>12-Nov-25</c:v>
                </c:pt>
                <c:pt idx="280">
                  <c:v>13-Nov-25</c:v>
                </c:pt>
                <c:pt idx="281">
                  <c:v>14-Nov-25</c:v>
                </c:pt>
                <c:pt idx="282">
                  <c:v>17-Nov-25</c:v>
                </c:pt>
                <c:pt idx="283">
                  <c:v>18-Nov-25</c:v>
                </c:pt>
                <c:pt idx="284">
                  <c:v>19-Nov-25</c:v>
                </c:pt>
                <c:pt idx="285">
                  <c:v>20-Nov-25</c:v>
                </c:pt>
                <c:pt idx="286">
                  <c:v>21-Nov-25</c:v>
                </c:pt>
                <c:pt idx="287">
                  <c:v>24-Nov-25</c:v>
                </c:pt>
                <c:pt idx="288">
                  <c:v>25-Nov-25</c:v>
                </c:pt>
                <c:pt idx="289">
                  <c:v>26-Nov-25</c:v>
                </c:pt>
                <c:pt idx="290">
                  <c:v>27-Nov-25</c:v>
                </c:pt>
                <c:pt idx="291">
                  <c:v>28-Nov-25</c:v>
                </c:pt>
                <c:pt idx="292">
                  <c:v>01-Dec-25</c:v>
                </c:pt>
                <c:pt idx="293">
                  <c:v>02-Dec-25</c:v>
                </c:pt>
                <c:pt idx="294">
                  <c:v>03-Dec-25</c:v>
                </c:pt>
                <c:pt idx="295">
                  <c:v>04-Dec-25</c:v>
                </c:pt>
                <c:pt idx="296">
                  <c:v>05-Dec-25</c:v>
                </c:pt>
                <c:pt idx="297">
                  <c:v>08-Dec-25</c:v>
                </c:pt>
                <c:pt idx="298">
                  <c:v>09-Dec-25</c:v>
                </c:pt>
                <c:pt idx="299">
                  <c:v>10-Dec-25</c:v>
                </c:pt>
                <c:pt idx="300">
                  <c:v>11-Dec-25</c:v>
                </c:pt>
                <c:pt idx="301">
                  <c:v>12-Dec-25</c:v>
                </c:pt>
                <c:pt idx="302">
                  <c:v>15-Dec-25</c:v>
                </c:pt>
                <c:pt idx="303">
                  <c:v>16-Dec-25</c:v>
                </c:pt>
                <c:pt idx="304">
                  <c:v>17-Dec-25</c:v>
                </c:pt>
                <c:pt idx="305">
                  <c:v>18-Dec-25</c:v>
                </c:pt>
                <c:pt idx="306">
                  <c:v>19-Dec-25</c:v>
                </c:pt>
                <c:pt idx="307">
                  <c:v>22-Dec-25</c:v>
                </c:pt>
                <c:pt idx="308">
                  <c:v>23-Dec-25</c:v>
                </c:pt>
                <c:pt idx="309">
                  <c:v>24-Dec-25</c:v>
                </c:pt>
                <c:pt idx="310">
                  <c:v>26-Dec-25</c:v>
                </c:pt>
                <c:pt idx="311">
                  <c:v>29-Dec-25</c:v>
                </c:pt>
                <c:pt idx="312">
                  <c:v>30-Dec-25</c:v>
                </c:pt>
                <c:pt idx="313">
                  <c:v>31-Dec-25</c:v>
                </c:pt>
                <c:pt idx="314">
                  <c:v>01-Jan-26</c:v>
                </c:pt>
                <c:pt idx="315">
                  <c:v>02-Jan-26</c:v>
                </c:pt>
                <c:pt idx="316">
                  <c:v>05-Jan-26</c:v>
                </c:pt>
                <c:pt idx="317">
                  <c:v>06-Jan-26</c:v>
                </c:pt>
                <c:pt idx="318">
                  <c:v>07-Jan-26</c:v>
                </c:pt>
                <c:pt idx="319">
                  <c:v>08-Jan-26</c:v>
                </c:pt>
                <c:pt idx="320">
                  <c:v>09-Jan-26</c:v>
                </c:pt>
                <c:pt idx="321">
                  <c:v>12-Jan-26</c:v>
                </c:pt>
                <c:pt idx="322">
                  <c:v>13-Jan-26</c:v>
                </c:pt>
                <c:pt idx="323">
                  <c:v>14-Jan-26</c:v>
                </c:pt>
                <c:pt idx="324">
                  <c:v>16-Jan-26</c:v>
                </c:pt>
                <c:pt idx="325">
                  <c:v>19-Jan-26</c:v>
                </c:pt>
                <c:pt idx="326">
                  <c:v>20-Jan-26</c:v>
                </c:pt>
                <c:pt idx="327">
                  <c:v>21-Jan-26</c:v>
                </c:pt>
                <c:pt idx="328">
                  <c:v>22-Jan-26</c:v>
                </c:pt>
                <c:pt idx="329">
                  <c:v>23-Jan-26</c:v>
                </c:pt>
                <c:pt idx="330">
                  <c:v>27-Jan-26</c:v>
                </c:pt>
                <c:pt idx="331">
                  <c:v>28-Jan-26</c:v>
                </c:pt>
                <c:pt idx="332">
                  <c:v>29-Jan-26</c:v>
                </c:pt>
                <c:pt idx="333">
                  <c:v>30-Jan-26</c:v>
                </c:pt>
                <c:pt idx="334">
                  <c:v>02-Feb-26</c:v>
                </c:pt>
                <c:pt idx="335">
                  <c:v>03-Feb-26</c:v>
                </c:pt>
                <c:pt idx="336">
                  <c:v>04-Feb-26</c:v>
                </c:pt>
                <c:pt idx="337">
                  <c:v>05-Feb-26</c:v>
                </c:pt>
                <c:pt idx="338">
                  <c:v>06-Feb-26</c:v>
                </c:pt>
                <c:pt idx="339">
                  <c:v>09-Feb-26</c:v>
                </c:pt>
                <c:pt idx="340">
                  <c:v>10-Feb-26</c:v>
                </c:pt>
                <c:pt idx="341">
                  <c:v>11-Feb-26</c:v>
                </c:pt>
                <c:pt idx="342">
                  <c:v>12-Feb-26</c:v>
                </c:pt>
                <c:pt idx="343">
                  <c:v>13-Feb-26</c:v>
                </c:pt>
                <c:pt idx="344">
                  <c:v>16-Feb-26</c:v>
                </c:pt>
                <c:pt idx="345">
                  <c:v>17-Feb-26</c:v>
                </c:pt>
                <c:pt idx="346">
                  <c:v>18-Feb-26</c:v>
                </c:pt>
                <c:pt idx="347">
                  <c:v>20-Feb-26</c:v>
                </c:pt>
                <c:pt idx="348">
                  <c:v>23-Feb-26</c:v>
                </c:pt>
                <c:pt idx="349">
                  <c:v>24-Feb-26</c:v>
                </c:pt>
                <c:pt idx="350">
                  <c:v>25-Feb-26</c:v>
                </c:pt>
                <c:pt idx="351">
                  <c:v>26-Feb-26</c:v>
                </c:pt>
                <c:pt idx="352">
                  <c:v>27-Feb-26</c:v>
                </c:pt>
                <c:pt idx="353">
                  <c:v>02-Mar-26</c:v>
                </c:pt>
                <c:pt idx="354">
                  <c:v>04-Mar-26</c:v>
                </c:pt>
                <c:pt idx="355">
                  <c:v>05-Mar-26</c:v>
                </c:pt>
                <c:pt idx="356">
                  <c:v>06-Mar-26</c:v>
                </c:pt>
                <c:pt idx="357">
                  <c:v>09-Mar-26</c:v>
                </c:pt>
                <c:pt idx="358">
                  <c:v>10-Mar-26</c:v>
                </c:pt>
                <c:pt idx="359">
                  <c:v>11-Mar-26</c:v>
                </c:pt>
                <c:pt idx="360">
                  <c:v>12-Mar-26</c:v>
                </c:pt>
                <c:pt idx="361">
                  <c:v>13-Mar-26</c:v>
                </c:pt>
                <c:pt idx="362">
                  <c:v>16-Mar-26</c:v>
                </c:pt>
                <c:pt idx="363">
                  <c:v>17-Mar-26</c:v>
                </c:pt>
                <c:pt idx="364">
                  <c:v>18-Mar-26</c:v>
                </c:pt>
                <c:pt idx="365">
                  <c:v>20-Mar-26</c:v>
                </c:pt>
                <c:pt idx="366">
                  <c:v>23-Mar-26</c:v>
                </c:pt>
                <c:pt idx="367">
                  <c:v>24-Mar-26</c:v>
                </c:pt>
                <c:pt idx="368">
                  <c:v>25-Mar-26</c:v>
                </c:pt>
                <c:pt idx="369">
                  <c:v>27-Mar-26</c:v>
                </c:pt>
                <c:pt idx="370">
                  <c:v>30-Mar-26</c:v>
                </c:pt>
                <c:pt idx="371">
                  <c:v>02-Apr-26</c:v>
                </c:pt>
                <c:pt idx="372">
                  <c:v>06-Apr-26</c:v>
                </c:pt>
                <c:pt idx="373">
                  <c:v>07-Apr-26</c:v>
                </c:pt>
                <c:pt idx="374">
                  <c:v>08-Apr-26</c:v>
                </c:pt>
                <c:pt idx="375">
                  <c:v>09-Apr-26</c:v>
                </c:pt>
                <c:pt idx="376">
                  <c:v>10-Apr-26</c:v>
                </c:pt>
                <c:pt idx="377">
                  <c:v>13-Apr-26</c:v>
                </c:pt>
                <c:pt idx="378">
                  <c:v>15-Apr-26</c:v>
                </c:pt>
                <c:pt idx="379">
                  <c:v>16-Apr-26</c:v>
                </c:pt>
                <c:pt idx="380">
                  <c:v>17-Apr-26</c:v>
                </c:pt>
                <c:pt idx="381">
                  <c:v>20-Apr-26</c:v>
                </c:pt>
                <c:pt idx="382">
                  <c:v>21-Apr-26</c:v>
                </c:pt>
                <c:pt idx="383">
                  <c:v>22-Apr-26</c:v>
                </c:pt>
                <c:pt idx="384">
                  <c:v>23-Apr-26</c:v>
                </c:pt>
                <c:pt idx="385">
                  <c:v>24-Apr-26</c:v>
                </c:pt>
                <c:pt idx="386">
                  <c:v>27-Apr-26</c:v>
                </c:pt>
                <c:pt idx="387">
                  <c:v>28-Apr-26</c:v>
                </c:pt>
                <c:pt idx="388">
                  <c:v>29-Apr-26</c:v>
                </c:pt>
                <c:pt idx="389">
                  <c:v>30-Apr-26</c:v>
                </c:pt>
                <c:pt idx="390">
                  <c:v>04-May-26</c:v>
                </c:pt>
                <c:pt idx="391">
                  <c:v>05-May-26</c:v>
                </c:pt>
                <c:pt idx="392">
                  <c:v>06-May-26</c:v>
                </c:pt>
                <c:pt idx="393">
                  <c:v>07-May-26</c:v>
                </c:pt>
                <c:pt idx="394">
                  <c:v>08-May-26</c:v>
                </c:pt>
                <c:pt idx="395">
                  <c:v>11-May-26</c:v>
                </c:pt>
                <c:pt idx="396">
                  <c:v>12-May-26</c:v>
                </c:pt>
                <c:pt idx="397">
                  <c:v>13-May-26</c:v>
                </c:pt>
                <c:pt idx="398">
                  <c:v>14-May-26</c:v>
                </c:pt>
                <c:pt idx="399">
                  <c:v>15-May-26</c:v>
                </c:pt>
                <c:pt idx="400">
                  <c:v>18-May-26</c:v>
                </c:pt>
                <c:pt idx="401">
                  <c:v>19-May-26</c:v>
                </c:pt>
                <c:pt idx="402">
                  <c:v>20-May-26</c:v>
                </c:pt>
                <c:pt idx="403">
                  <c:v>21-May-26</c:v>
                </c:pt>
                <c:pt idx="404">
                  <c:v>22-May-26</c:v>
                </c:pt>
                <c:pt idx="405">
                  <c:v>25-May-26</c:v>
                </c:pt>
                <c:pt idx="406">
                  <c:v>26-May-26</c:v>
                </c:pt>
                <c:pt idx="407">
                  <c:v>27-May-26</c:v>
                </c:pt>
                <c:pt idx="408">
                  <c:v>29-May-26</c:v>
                </c:pt>
                <c:pt idx="409">
                  <c:v>01-Jun-26</c:v>
                </c:pt>
                <c:pt idx="410">
                  <c:v>02-Jun-26</c:v>
                </c:pt>
                <c:pt idx="411">
                  <c:v>03-Jun-26</c:v>
                </c:pt>
                <c:pt idx="412">
                  <c:v>04-Jun-26</c:v>
                </c:pt>
                <c:pt idx="413">
                  <c:v>05-Jun-26</c:v>
                </c:pt>
                <c:pt idx="414">
                  <c:v>08-Jun-26</c:v>
                </c:pt>
                <c:pt idx="415">
                  <c:v>09-Jun-26</c:v>
                </c:pt>
                <c:pt idx="416">
                  <c:v>10-Jun-26</c:v>
                </c:pt>
                <c:pt idx="417">
                  <c:v>11-Jun-26</c:v>
                </c:pt>
                <c:pt idx="418">
                  <c:v>12-Jun-26</c:v>
                </c:pt>
                <c:pt idx="419">
                  <c:v>15-Jun-26</c:v>
                </c:pt>
                <c:pt idx="420">
                  <c:v>16-Jun-26</c:v>
                </c:pt>
                <c:pt idx="421">
                  <c:v>17-Jun-26</c:v>
                </c:pt>
                <c:pt idx="422">
                  <c:v>18-Jun-26</c:v>
                </c:pt>
                <c:pt idx="423">
                  <c:v>19-Jun-26</c:v>
                </c:pt>
                <c:pt idx="424">
                  <c:v>22-Jun-26</c:v>
                </c:pt>
                <c:pt idx="425">
                  <c:v>23-Jun-26</c:v>
                </c:pt>
                <c:pt idx="426">
                  <c:v>24-Jun-26</c:v>
                </c:pt>
                <c:pt idx="427">
                  <c:v>25-Jun-26</c:v>
                </c:pt>
                <c:pt idx="428">
                  <c:v>29-Jun-26</c:v>
                </c:pt>
                <c:pt idx="429">
                  <c:v>30-Jun-26</c:v>
                </c:pt>
                <c:pt idx="430">
                  <c:v>01-Jul-26</c:v>
                </c:pt>
                <c:pt idx="431">
                  <c:v>02-Jul-26</c:v>
                </c:pt>
                <c:pt idx="432">
                  <c:v>03-Jul-26</c:v>
                </c:pt>
                <c:pt idx="433">
                  <c:v>06-Jul-26</c:v>
                </c:pt>
                <c:pt idx="434">
                  <c:v>07-Jul-26</c:v>
                </c:pt>
                <c:pt idx="435">
                  <c:v>08-Jul-26</c:v>
                </c:pt>
                <c:pt idx="436">
                  <c:v>09-Jul-26</c:v>
                </c:pt>
                <c:pt idx="437">
                  <c:v>10-Jul-26</c:v>
                </c:pt>
                <c:pt idx="438">
                  <c:v>13-Jul-26</c:v>
                </c:pt>
                <c:pt idx="439">
                  <c:v>14-Jul-26</c:v>
                </c:pt>
                <c:pt idx="440">
                  <c:v>15-Jul-26</c:v>
                </c:pt>
                <c:pt idx="441">
                  <c:v>16-Jul-26</c:v>
                </c:pt>
                <c:pt idx="442">
                  <c:v>17-Jul-26</c:v>
                </c:pt>
                <c:pt idx="443">
                  <c:v>20-Jul-26</c:v>
                </c:pt>
                <c:pt idx="444">
                  <c:v>21-Jul-26</c:v>
                </c:pt>
                <c:pt idx="445">
                  <c:v>22-Jul-26</c:v>
                </c:pt>
                <c:pt idx="446">
                  <c:v>23-Jul-26</c:v>
                </c:pt>
                <c:pt idx="447">
                  <c:v>24-Jul-26</c:v>
                </c:pt>
                <c:pt idx="448">
                  <c:v>27-Jul-26</c:v>
                </c:pt>
                <c:pt idx="449">
                  <c:v>28-Jul-26</c:v>
                </c:pt>
                <c:pt idx="450">
                  <c:v>29-Jul-26</c:v>
                </c:pt>
                <c:pt idx="451">
                  <c:v>30-Jul-26</c:v>
                </c:pt>
                <c:pt idx="452">
                  <c:v>31-Jul-26</c:v>
                </c:pt>
                <c:pt idx="453">
                  <c:v>03-Aug-26</c:v>
                </c:pt>
                <c:pt idx="454">
                  <c:v>04-Aug-26</c:v>
                </c:pt>
                <c:pt idx="455">
                  <c:v>05-Aug-26</c:v>
                </c:pt>
                <c:pt idx="456">
                  <c:v>06-Aug-26</c:v>
                </c:pt>
                <c:pt idx="457">
                  <c:v>07-Aug-26</c:v>
                </c:pt>
                <c:pt idx="458">
                  <c:v>10-Aug-26</c:v>
                </c:pt>
                <c:pt idx="459">
                  <c:v>11-Aug-26</c:v>
                </c:pt>
                <c:pt idx="460">
                  <c:v>12-Aug-26</c:v>
                </c:pt>
                <c:pt idx="461">
                  <c:v>13-Aug-26</c:v>
                </c:pt>
                <c:pt idx="462">
                  <c:v>14-Aug-26</c:v>
                </c:pt>
                <c:pt idx="463">
                  <c:v>17-Aug-26</c:v>
                </c:pt>
                <c:pt idx="464">
                  <c:v>18-Aug-26</c:v>
                </c:pt>
                <c:pt idx="465">
                  <c:v>19-Aug-26</c:v>
                </c:pt>
                <c:pt idx="466">
                  <c:v>20-Aug-26</c:v>
                </c:pt>
                <c:pt idx="467">
                  <c:v>21-Aug-26</c:v>
                </c:pt>
                <c:pt idx="468">
                  <c:v>24-Aug-26</c:v>
                </c:pt>
                <c:pt idx="469">
                  <c:v>25-Aug-26</c:v>
                </c:pt>
                <c:pt idx="470">
                  <c:v>27-Aug-26</c:v>
                </c:pt>
                <c:pt idx="471">
                  <c:v>28-Aug-26</c:v>
                </c:pt>
                <c:pt idx="472">
                  <c:v>31-Aug-26</c:v>
                </c:pt>
                <c:pt idx="473">
                  <c:v>01-Sep-26</c:v>
                </c:pt>
                <c:pt idx="474">
                  <c:v>02-Sep-26</c:v>
                </c:pt>
                <c:pt idx="475">
                  <c:v>03-Sep-26</c:v>
                </c:pt>
                <c:pt idx="476">
                  <c:v>04-Sep-26</c:v>
                </c:pt>
                <c:pt idx="477">
                  <c:v>07-Sep-26</c:v>
                </c:pt>
                <c:pt idx="478">
                  <c:v>08-Sep-26</c:v>
                </c:pt>
                <c:pt idx="479">
                  <c:v>09-Sep-26</c:v>
                </c:pt>
              </c:strCache>
            </c:strRef>
          </c:cat>
          <c:val>
            <c:numRef>
              <c:f>HullWhite!$L$2:$L$481</c:f>
              <c:numCache>
                <c:formatCode>0.000000</c:formatCode>
                <c:ptCount val="480"/>
                <c:pt idx="60">
                  <c:v>0.0666162374422357</c:v>
                </c:pt>
                <c:pt idx="61">
                  <c:v>0.0669254988572458</c:v>
                </c:pt>
                <c:pt idx="62">
                  <c:v>0.0666529041089024</c:v>
                </c:pt>
                <c:pt idx="63">
                  <c:v>0.0667155587891818</c:v>
                </c:pt>
                <c:pt idx="64">
                  <c:v>0.0667305587891818</c:v>
                </c:pt>
                <c:pt idx="65">
                  <c:v>0.0664989520544512</c:v>
                </c:pt>
                <c:pt idx="66">
                  <c:v>0.0666042614150101</c:v>
                </c:pt>
                <c:pt idx="67">
                  <c:v>0.0668115468027946</c:v>
                </c:pt>
                <c:pt idx="68">
                  <c:v>0.0678146404083839</c:v>
                </c:pt>
                <c:pt idx="69">
                  <c:v>0.0670754988572458</c:v>
                </c:pt>
                <c:pt idx="70">
                  <c:v>0.0693676141501011</c:v>
                </c:pt>
                <c:pt idx="71">
                  <c:v>0.0668042614150101</c:v>
                </c:pt>
                <c:pt idx="72">
                  <c:v>0.0668142614150101</c:v>
                </c:pt>
                <c:pt idx="73">
                  <c:v>0.0668242614150101</c:v>
                </c:pt>
                <c:pt idx="74">
                  <c:v>0.0677713670069866</c:v>
                </c:pt>
                <c:pt idx="75">
                  <c:v>0.0685528538778452</c:v>
                </c:pt>
                <c:pt idx="76">
                  <c:v>0.0685208778506196</c:v>
                </c:pt>
                <c:pt idx="77">
                  <c:v>0.0691267460003604</c:v>
                </c:pt>
                <c:pt idx="78">
                  <c:v>0.0696523047895422</c:v>
                </c:pt>
                <c:pt idx="79">
                  <c:v>0.0693544006806398</c:v>
                </c:pt>
                <c:pt idx="80">
                  <c:v>0.067464880136128</c:v>
                </c:pt>
                <c:pt idx="81">
                  <c:v>0.0669883333333333</c:v>
                </c:pt>
                <c:pt idx="82">
                  <c:v>0.067629510843633</c:v>
                </c:pt>
                <c:pt idx="83">
                  <c:v>0.0677004988572458</c:v>
                </c:pt>
                <c:pt idx="84">
                  <c:v>0.0671319760272256</c:v>
                </c:pt>
                <c:pt idx="85">
                  <c:v>0.0661982037685825</c:v>
                </c:pt>
                <c:pt idx="86">
                  <c:v>0.0663671558230336</c:v>
                </c:pt>
                <c:pt idx="87">
                  <c:v>0.066740059931936</c:v>
                </c:pt>
                <c:pt idx="88">
                  <c:v>0.066485119863872</c:v>
                </c:pt>
                <c:pt idx="89">
                  <c:v>0.0677014868708586</c:v>
                </c:pt>
                <c:pt idx="90">
                  <c:v>0.0676278441769664</c:v>
                </c:pt>
                <c:pt idx="91">
                  <c:v>0.0672056187211179</c:v>
                </c:pt>
                <c:pt idx="92">
                  <c:v>0.067754820204192</c:v>
                </c:pt>
                <c:pt idx="93">
                  <c:v>0.0682730336736532</c:v>
                </c:pt>
                <c:pt idx="94">
                  <c:v>0.0683147003403199</c:v>
                </c:pt>
                <c:pt idx="95">
                  <c:v>0.0677151894966869</c:v>
                </c:pt>
                <c:pt idx="96">
                  <c:v>0.0675379041089024</c:v>
                </c:pt>
                <c:pt idx="97">
                  <c:v>0.0673539520544512</c:v>
                </c:pt>
                <c:pt idx="98">
                  <c:v>0.0662262277413569</c:v>
                </c:pt>
                <c:pt idx="99">
                  <c:v>0.0668357385849899</c:v>
                </c:pt>
                <c:pt idx="100">
                  <c:v>0.0666284531972054</c:v>
                </c:pt>
                <c:pt idx="101">
                  <c:v>0.0665131438366464</c:v>
                </c:pt>
                <c:pt idx="102">
                  <c:v>0.0662465371019158</c:v>
                </c:pt>
                <c:pt idx="103">
                  <c:v>0.0657743116460673</c:v>
                </c:pt>
                <c:pt idx="104">
                  <c:v>0.0648431940677036</c:v>
                </c:pt>
                <c:pt idx="105">
                  <c:v>0.0647205393874242</c:v>
                </c:pt>
                <c:pt idx="106">
                  <c:v>0.0647935034282625</c:v>
                </c:pt>
                <c:pt idx="107">
                  <c:v>0.0646248607343703</c:v>
                </c:pt>
                <c:pt idx="108">
                  <c:v>0.064551527401037</c:v>
                </c:pt>
                <c:pt idx="109">
                  <c:v>0.0648727648432727</c:v>
                </c:pt>
                <c:pt idx="110">
                  <c:v>0.0656019063944107</c:v>
                </c:pt>
                <c:pt idx="111">
                  <c:v>0.0660617865305387</c:v>
                </c:pt>
                <c:pt idx="112">
                  <c:v>0.066045119863872</c:v>
                </c:pt>
                <c:pt idx="113">
                  <c:v>0.0653872756869057</c:v>
                </c:pt>
                <c:pt idx="114">
                  <c:v>0.0652502996596801</c:v>
                </c:pt>
                <c:pt idx="115">
                  <c:v>0.0646167768296599</c:v>
                </c:pt>
                <c:pt idx="116">
                  <c:v>0.0639139326526935</c:v>
                </c:pt>
                <c:pt idx="117">
                  <c:v>0.0636333139315757</c:v>
                </c:pt>
                <c:pt idx="118">
                  <c:v>0.0642831341357676</c:v>
                </c:pt>
                <c:pt idx="119">
                  <c:v>0.0640701700949292</c:v>
                </c:pt>
                <c:pt idx="120">
                  <c:v>0.0641481341357676</c:v>
                </c:pt>
                <c:pt idx="121">
                  <c:v>0.0638858487479831</c:v>
                </c:pt>
                <c:pt idx="122">
                  <c:v>0.0638635034282626</c:v>
                </c:pt>
                <c:pt idx="123">
                  <c:v>0.0639414674691009</c:v>
                </c:pt>
                <c:pt idx="124">
                  <c:v>0.0636298607343703</c:v>
                </c:pt>
                <c:pt idx="125">
                  <c:v>0.0637538127888215</c:v>
                </c:pt>
                <c:pt idx="126">
                  <c:v>0.0634405393874242</c:v>
                </c:pt>
                <c:pt idx="127">
                  <c:v>0.0639080742038316</c:v>
                </c:pt>
                <c:pt idx="128">
                  <c:v>0.0626183738635117</c:v>
                </c:pt>
                <c:pt idx="129">
                  <c:v>0.0621747911015554</c:v>
                </c:pt>
                <c:pt idx="130">
                  <c:v>0.0655666067347307</c:v>
                </c:pt>
                <c:pt idx="131">
                  <c:v>0.0639966569657878</c:v>
                </c:pt>
                <c:pt idx="132">
                  <c:v>0.0630145513738114</c:v>
                </c:pt>
                <c:pt idx="133">
                  <c:v>0.0631844914418754</c:v>
                </c:pt>
                <c:pt idx="134">
                  <c:v>0.0626229446390807</c:v>
                </c:pt>
                <c:pt idx="135">
                  <c:v>0.0618474457818349</c:v>
                </c:pt>
                <c:pt idx="136">
                  <c:v>0.0607033641626328</c:v>
                </c:pt>
                <c:pt idx="137">
                  <c:v>0.0591790331148079</c:v>
                </c:pt>
                <c:pt idx="138">
                  <c:v>0.0589397117678617</c:v>
                </c:pt>
                <c:pt idx="139">
                  <c:v>0.0591426158767641</c:v>
                </c:pt>
                <c:pt idx="140">
                  <c:v>0.060937136421276</c:v>
                </c:pt>
                <c:pt idx="141">
                  <c:v>0.0613186832240706</c:v>
                </c:pt>
                <c:pt idx="142">
                  <c:v>0.0606811484076632</c:v>
                </c:pt>
                <c:pt idx="143">
                  <c:v>0.0607651004621144</c:v>
                </c:pt>
                <c:pt idx="144">
                  <c:v>0.0598692922443096</c:v>
                </c:pt>
                <c:pt idx="145">
                  <c:v>0.0604264577682221</c:v>
                </c:pt>
                <c:pt idx="146">
                  <c:v>0.060267136421276</c:v>
                </c:pt>
                <c:pt idx="147">
                  <c:v>0.0599581843668248</c:v>
                </c:pt>
                <c:pt idx="148">
                  <c:v>0.0601357791151682</c:v>
                </c:pt>
                <c:pt idx="149">
                  <c:v>0.0597808390471042</c:v>
                </c:pt>
                <c:pt idx="150">
                  <c:v>0.0597134937273837</c:v>
                </c:pt>
                <c:pt idx="151">
                  <c:v>0.0593025656457069</c:v>
                </c:pt>
                <c:pt idx="152">
                  <c:v>0.0591775656457069</c:v>
                </c:pt>
                <c:pt idx="153">
                  <c:v>0.0590525656457069</c:v>
                </c:pt>
                <c:pt idx="154">
                  <c:v>0.0589275656457069</c:v>
                </c:pt>
                <c:pt idx="155">
                  <c:v>0.0589998510334914</c:v>
                </c:pt>
                <c:pt idx="156">
                  <c:v>0.0590294817409965</c:v>
                </c:pt>
                <c:pt idx="157">
                  <c:v>0.0591134337954477</c:v>
                </c:pt>
                <c:pt idx="158">
                  <c:v>0.0598945513738114</c:v>
                </c:pt>
                <c:pt idx="159">
                  <c:v>0.0594233139315757</c:v>
                </c:pt>
                <c:pt idx="160">
                  <c:v>0.0592839925846295</c:v>
                </c:pt>
                <c:pt idx="161">
                  <c:v>0.0591923259179629</c:v>
                </c:pt>
                <c:pt idx="162">
                  <c:v>0.0593472659860268</c:v>
                </c:pt>
                <c:pt idx="163">
                  <c:v>0.0590173259179629</c:v>
                </c:pt>
                <c:pt idx="164">
                  <c:v>0.0589256592512962</c:v>
                </c:pt>
                <c:pt idx="165">
                  <c:v>0.0588339925846295</c:v>
                </c:pt>
                <c:pt idx="166">
                  <c:v>0.0585943618771245</c:v>
                </c:pt>
                <c:pt idx="167">
                  <c:v>0.0584976952104578</c:v>
                </c:pt>
                <c:pt idx="168">
                  <c:v>0.0586969566254679</c:v>
                </c:pt>
                <c:pt idx="169">
                  <c:v>0.0584130045710167</c:v>
                </c:pt>
                <c:pt idx="170">
                  <c:v>0.0582210285437911</c:v>
                </c:pt>
                <c:pt idx="171">
                  <c:v>0.0580257191832322</c:v>
                </c:pt>
                <c:pt idx="172">
                  <c:v>0.0579257191832322</c:v>
                </c:pt>
                <c:pt idx="173">
                  <c:v>0.0564940428156867</c:v>
                </c:pt>
                <c:pt idx="174">
                  <c:v>0.0560037933870638</c:v>
                </c:pt>
                <c:pt idx="175">
                  <c:v>0.055797805373451</c:v>
                </c:pt>
                <c:pt idx="176">
                  <c:v>0.0556394720401177</c:v>
                </c:pt>
                <c:pt idx="177">
                  <c:v>0.0554318173598382</c:v>
                </c:pt>
                <c:pt idx="178">
                  <c:v>0.0549758892781614</c:v>
                </c:pt>
                <c:pt idx="179">
                  <c:v>0.0549538533189998</c:v>
                </c:pt>
                <c:pt idx="180">
                  <c:v>0.0542463185025924</c:v>
                </c:pt>
                <c:pt idx="181">
                  <c:v>0.0540136638223129</c:v>
                </c:pt>
                <c:pt idx="182">
                  <c:v>0.0538779851692591</c:v>
                </c:pt>
                <c:pt idx="183">
                  <c:v>0.0534480451011951</c:v>
                </c:pt>
                <c:pt idx="184">
                  <c:v>0.0532563784345284</c:v>
                </c:pt>
                <c:pt idx="185">
                  <c:v>0.0531140331148079</c:v>
                </c:pt>
                <c:pt idx="186">
                  <c:v>0.0532199611964846</c:v>
                </c:pt>
                <c:pt idx="187">
                  <c:v>0.0528919971556463</c:v>
                </c:pt>
                <c:pt idx="188">
                  <c:v>0.0536934240945689</c:v>
                </c:pt>
                <c:pt idx="189">
                  <c:v>0.0544788630198787</c:v>
                </c:pt>
                <c:pt idx="190">
                  <c:v>0.048785550814966</c:v>
                </c:pt>
                <c:pt idx="191">
                  <c:v>0.0525215679312153</c:v>
                </c:pt>
                <c:pt idx="192">
                  <c:v>0.0534842922443096</c:v>
                </c:pt>
                <c:pt idx="193">
                  <c:v>0.0531536735231918</c:v>
                </c:pt>
                <c:pt idx="194">
                  <c:v>0.0525204600537305</c:v>
                </c:pt>
                <c:pt idx="195">
                  <c:v>0.0522651506931715</c:v>
                </c:pt>
                <c:pt idx="196">
                  <c:v>0.0535847911015554</c:v>
                </c:pt>
                <c:pt idx="197">
                  <c:v>0.0545105393874242</c:v>
                </c:pt>
                <c:pt idx="198">
                  <c:v>0.0545835034282626</c:v>
                </c:pt>
                <c:pt idx="199">
                  <c:v>0.0538723259179629</c:v>
                </c:pt>
                <c:pt idx="200">
                  <c:v>0.054076587332973</c:v>
                </c:pt>
                <c:pt idx="201">
                  <c:v>0.0537976352785218</c:v>
                </c:pt>
                <c:pt idx="202">
                  <c:v>0.0535613379043501</c:v>
                </c:pt>
                <c:pt idx="203">
                  <c:v>0.0532213978362861</c:v>
                </c:pt>
                <c:pt idx="204">
                  <c:v>0.0540075154146498</c:v>
                </c:pt>
                <c:pt idx="205">
                  <c:v>0.0547249902991212</c:v>
                </c:pt>
                <c:pt idx="206">
                  <c:v>0.055370489156367</c:v>
                </c:pt>
                <c:pt idx="207">
                  <c:v>0.05446103824467</c:v>
                </c:pt>
                <c:pt idx="208">
                  <c:v>0.0531763379043501</c:v>
                </c:pt>
                <c:pt idx="209">
                  <c:v>0.0531323259179629</c:v>
                </c:pt>
                <c:pt idx="210">
                  <c:v>0.053336587332973</c:v>
                </c:pt>
                <c:pt idx="211">
                  <c:v>0.0533042420132524</c:v>
                </c:pt>
                <c:pt idx="212">
                  <c:v>0.053816098176606</c:v>
                </c:pt>
                <c:pt idx="213">
                  <c:v>0.0535588127888215</c:v>
                </c:pt>
                <c:pt idx="214">
                  <c:v>0.0531468966935319</c:v>
                </c:pt>
                <c:pt idx="215">
                  <c:v>0.0529699206663063</c:v>
                </c:pt>
                <c:pt idx="216">
                  <c:v>0.0526909686118551</c:v>
                </c:pt>
                <c:pt idx="217">
                  <c:v>0.052701277972414</c:v>
                </c:pt>
                <c:pt idx="218">
                  <c:v>0.0538493116460673</c:v>
                </c:pt>
                <c:pt idx="219">
                  <c:v>0.0528688727207575</c:v>
                </c:pt>
                <c:pt idx="220">
                  <c:v>0.0532870861902188</c:v>
                </c:pt>
                <c:pt idx="221">
                  <c:v>0.0533273955507777</c:v>
                </c:pt>
                <c:pt idx="222">
                  <c:v>0.0530751101629932</c:v>
                </c:pt>
                <c:pt idx="223">
                  <c:v>0.0526188727207575</c:v>
                </c:pt>
                <c:pt idx="224">
                  <c:v>0.0529384434963265</c:v>
                </c:pt>
                <c:pt idx="225">
                  <c:v>0.0530740622174444</c:v>
                </c:pt>
                <c:pt idx="226">
                  <c:v>0.0532163476052289</c:v>
                </c:pt>
                <c:pt idx="227">
                  <c:v>0.0533652996596801</c:v>
                </c:pt>
                <c:pt idx="228">
                  <c:v>0.0526824554827137</c:v>
                </c:pt>
                <c:pt idx="229">
                  <c:v>0.0527670861902188</c:v>
                </c:pt>
                <c:pt idx="230">
                  <c:v>0.0529553595916161</c:v>
                </c:pt>
                <c:pt idx="231">
                  <c:v>0.0531026449794006</c:v>
                </c:pt>
                <c:pt idx="232">
                  <c:v>0.0528127049113366</c:v>
                </c:pt>
                <c:pt idx="233">
                  <c:v>0.0539940719183232</c:v>
                </c:pt>
                <c:pt idx="234">
                  <c:v>0.0544772853877845</c:v>
                </c:pt>
                <c:pt idx="235">
                  <c:v>0.0545332734013973</c:v>
                </c:pt>
                <c:pt idx="236">
                  <c:v>0.0545416067347307</c:v>
                </c:pt>
                <c:pt idx="237">
                  <c:v>0.054549940068064</c:v>
                </c:pt>
                <c:pt idx="238">
                  <c:v>0.0545089520544512</c:v>
                </c:pt>
                <c:pt idx="239">
                  <c:v>0.0545156187211179</c:v>
                </c:pt>
                <c:pt idx="240">
                  <c:v>0.0551634628980842</c:v>
                </c:pt>
                <c:pt idx="241">
                  <c:v>0.0552411175783637</c:v>
                </c:pt>
                <c:pt idx="242">
                  <c:v>0.0552711175783637</c:v>
                </c:pt>
                <c:pt idx="243">
                  <c:v>0.0553504389253098</c:v>
                </c:pt>
                <c:pt idx="244">
                  <c:v>0.0559246404083839</c:v>
                </c:pt>
                <c:pt idx="245">
                  <c:v>0.0558759977144916</c:v>
                </c:pt>
                <c:pt idx="246">
                  <c:v>0.0557747003403199</c:v>
                </c:pt>
                <c:pt idx="247">
                  <c:v>0.0564575445172863</c:v>
                </c:pt>
                <c:pt idx="248">
                  <c:v>0.055534450911697</c:v>
                </c:pt>
                <c:pt idx="249">
                  <c:v>0.0552192014830741</c:v>
                </c:pt>
                <c:pt idx="250">
                  <c:v>0.0561253190614378</c:v>
                </c:pt>
                <c:pt idx="251">
                  <c:v>0.0561736523947711</c:v>
                </c:pt>
                <c:pt idx="252">
                  <c:v>0.0569618059322964</c:v>
                </c:pt>
                <c:pt idx="253">
                  <c:v>0.0553088921225152</c:v>
                </c:pt>
                <c:pt idx="254">
                  <c:v>0.0553732134694613</c:v>
                </c:pt>
                <c:pt idx="255">
                  <c:v>0.055389880136128</c:v>
                </c:pt>
                <c:pt idx="256">
                  <c:v>0.0550612973741717</c:v>
                </c:pt>
                <c:pt idx="257">
                  <c:v>0.0548690119863872</c:v>
                </c:pt>
                <c:pt idx="258">
                  <c:v>0.0548673453197205</c:v>
                </c:pt>
                <c:pt idx="259">
                  <c:v>0.0562959977144916</c:v>
                </c:pt>
                <c:pt idx="260">
                  <c:v>0.055454880136128</c:v>
                </c:pt>
                <c:pt idx="261">
                  <c:v>0.0553729041089024</c:v>
                </c:pt>
                <c:pt idx="262">
                  <c:v>0.0550903093605589</c:v>
                </c:pt>
                <c:pt idx="263">
                  <c:v>0.0552909280816768</c:v>
                </c:pt>
                <c:pt idx="264">
                  <c:v>0.0551529640408384</c:v>
                </c:pt>
                <c:pt idx="265">
                  <c:v>0.0548127146122155</c:v>
                </c:pt>
                <c:pt idx="266">
                  <c:v>0.053375728884111</c:v>
                </c:pt>
                <c:pt idx="267">
                  <c:v>0.0544057985169259</c:v>
                </c:pt>
                <c:pt idx="268">
                  <c:v>0.0559657482858687</c:v>
                </c:pt>
                <c:pt idx="269">
                  <c:v>0.0561487123267071</c:v>
                </c:pt>
                <c:pt idx="270">
                  <c:v>0.0559421055919765</c:v>
                </c:pt>
                <c:pt idx="271">
                  <c:v>0.0561217362994815</c:v>
                </c:pt>
                <c:pt idx="272">
                  <c:v>0.0558131535375253</c:v>
                </c:pt>
                <c:pt idx="273">
                  <c:v>0.0550490119863872</c:v>
                </c:pt>
                <c:pt idx="274">
                  <c:v>0.0553925947483435</c:v>
                </c:pt>
                <c:pt idx="275">
                  <c:v>0.0553532734013973</c:v>
                </c:pt>
                <c:pt idx="276">
                  <c:v>0.0554602494286229</c:v>
                </c:pt>
                <c:pt idx="277">
                  <c:v>0.0551266666666667</c:v>
                </c:pt>
                <c:pt idx="278">
                  <c:v>0.0539429543399596</c:v>
                </c:pt>
                <c:pt idx="279">
                  <c:v>0.0549880239727744</c:v>
                </c:pt>
                <c:pt idx="280">
                  <c:v>0.0545407985169259</c:v>
                </c:pt>
                <c:pt idx="281">
                  <c:v>0.0553609280816768</c:v>
                </c:pt>
                <c:pt idx="282">
                  <c:v>0.0545817865305387</c:v>
                </c:pt>
                <c:pt idx="283">
                  <c:v>0.0550090119863872</c:v>
                </c:pt>
                <c:pt idx="284">
                  <c:v>0.0548593812788821</c:v>
                </c:pt>
                <c:pt idx="285">
                  <c:v>0.0548527146122155</c:v>
                </c:pt>
                <c:pt idx="286">
                  <c:v>0.0552406187211179</c:v>
                </c:pt>
                <c:pt idx="287">
                  <c:v>0.0551486426938923</c:v>
                </c:pt>
                <c:pt idx="288">
                  <c:v>0.0551026546802795</c:v>
                </c:pt>
                <c:pt idx="289">
                  <c:v>0.0548083932652694</c:v>
                </c:pt>
                <c:pt idx="290">
                  <c:v>0.0546520958910976</c:v>
                </c:pt>
                <c:pt idx="291">
                  <c:v>0.055279940068064</c:v>
                </c:pt>
                <c:pt idx="292">
                  <c:v>0.0550416666666667</c:v>
                </c:pt>
                <c:pt idx="293">
                  <c:v>0.054795059931936</c:v>
                </c:pt>
                <c:pt idx="294">
                  <c:v>0.0550333333333333</c:v>
                </c:pt>
                <c:pt idx="295">
                  <c:v>0.0553785827619562</c:v>
                </c:pt>
                <c:pt idx="296">
                  <c:v>0.0548477146122155</c:v>
                </c:pt>
                <c:pt idx="297">
                  <c:v>0.0542985131291414</c:v>
                </c:pt>
                <c:pt idx="298">
                  <c:v>0.0542735131291414</c:v>
                </c:pt>
                <c:pt idx="299">
                  <c:v>0.0542485131291414</c:v>
                </c:pt>
                <c:pt idx="300">
                  <c:v>0.0538289423535724</c:v>
                </c:pt>
                <c:pt idx="301">
                  <c:v>0.0537412876732929</c:v>
                </c:pt>
                <c:pt idx="302">
                  <c:v>0.0539972157549697</c:v>
                </c:pt>
                <c:pt idx="303">
                  <c:v>0.0547070359591616</c:v>
                </c:pt>
                <c:pt idx="304">
                  <c:v>0.0546033932652694</c:v>
                </c:pt>
                <c:pt idx="305">
                  <c:v>0.0541511678094209</c:v>
                </c:pt>
                <c:pt idx="306">
                  <c:v>0.0540785131291414</c:v>
                </c:pt>
                <c:pt idx="307">
                  <c:v>0.0536096210066262</c:v>
                </c:pt>
                <c:pt idx="308">
                  <c:v>0.0543587625577643</c:v>
                </c:pt>
                <c:pt idx="309">
                  <c:v>0.0542467865305387</c:v>
                </c:pt>
                <c:pt idx="310">
                  <c:v>0.054230119863872</c:v>
                </c:pt>
                <c:pt idx="311">
                  <c:v>0.0546080239727744</c:v>
                </c:pt>
                <c:pt idx="312">
                  <c:v>0.0538648704352491</c:v>
                </c:pt>
                <c:pt idx="313">
                  <c:v>0.0560066763675455</c:v>
                </c:pt>
                <c:pt idx="314">
                  <c:v>0.0549172853877845</c:v>
                </c:pt>
                <c:pt idx="315">
                  <c:v>0.0549732734013973</c:v>
                </c:pt>
                <c:pt idx="316">
                  <c:v>0.0552282134694613</c:v>
                </c:pt>
                <c:pt idx="317">
                  <c:v>0.0547516666666667</c:v>
                </c:pt>
                <c:pt idx="318">
                  <c:v>0.0539625251155286</c:v>
                </c:pt>
                <c:pt idx="319">
                  <c:v>0.0536399303671851</c:v>
                </c:pt>
                <c:pt idx="320">
                  <c:v>0.0546883333333333</c:v>
                </c:pt>
                <c:pt idx="321">
                  <c:v>0.0542444412108182</c:v>
                </c:pt>
                <c:pt idx="322">
                  <c:v>0.0545746906394411</c:v>
                </c:pt>
                <c:pt idx="323">
                  <c:v>0.0545713573061077</c:v>
                </c:pt>
                <c:pt idx="324">
                  <c:v>0.0542227745441515</c:v>
                </c:pt>
                <c:pt idx="325">
                  <c:v>0.0539118464624747</c:v>
                </c:pt>
                <c:pt idx="326">
                  <c:v>0.0545773453197205</c:v>
                </c:pt>
                <c:pt idx="327">
                  <c:v>0.0544770359591616</c:v>
                </c:pt>
                <c:pt idx="328">
                  <c:v>0.0542747505713771</c:v>
                </c:pt>
                <c:pt idx="329">
                  <c:v>0.0536219063944107</c:v>
                </c:pt>
                <c:pt idx="330">
                  <c:v>0.0538351797958081</c:v>
                </c:pt>
                <c:pt idx="331">
                  <c:v>0.0528730742038316</c:v>
                </c:pt>
                <c:pt idx="332">
                  <c:v>0.0528164075371649</c:v>
                </c:pt>
                <c:pt idx="333">
                  <c:v>0.0546339520544512</c:v>
                </c:pt>
                <c:pt idx="334">
                  <c:v>0.0534075850474646</c:v>
                </c:pt>
                <c:pt idx="335">
                  <c:v>0.0527807288841111</c:v>
                </c:pt>
                <c:pt idx="336">
                  <c:v>0.0523804794554881</c:v>
                </c:pt>
                <c:pt idx="337">
                  <c:v>0.0528070262582828</c:v>
                </c:pt>
                <c:pt idx="338">
                  <c:v>0.0527570262582828</c:v>
                </c:pt>
                <c:pt idx="339">
                  <c:v>0.0527070262582828</c:v>
                </c:pt>
                <c:pt idx="340">
                  <c:v>0.0526570262582828</c:v>
                </c:pt>
                <c:pt idx="341">
                  <c:v>0.0516205993193602</c:v>
                </c:pt>
                <c:pt idx="342">
                  <c:v>0.0523264075371649</c:v>
                </c:pt>
                <c:pt idx="343">
                  <c:v>0.052171098176606</c:v>
                </c:pt>
                <c:pt idx="344">
                  <c:v>0.0524070262582828</c:v>
                </c:pt>
                <c:pt idx="345">
                  <c:v>0.0521597408704982</c:v>
                </c:pt>
                <c:pt idx="346">
                  <c:v>0.051511218040478</c:v>
                </c:pt>
                <c:pt idx="347">
                  <c:v>0.0514838727207575</c:v>
                </c:pt>
                <c:pt idx="348">
                  <c:v>0.0520500502310572</c:v>
                </c:pt>
                <c:pt idx="349">
                  <c:v>0.0522433236324545</c:v>
                </c:pt>
                <c:pt idx="350">
                  <c:v>0.0520503595916161</c:v>
                </c:pt>
                <c:pt idx="351">
                  <c:v>0.051211218040478</c:v>
                </c:pt>
                <c:pt idx="352">
                  <c:v>0.0518250502310572</c:v>
                </c:pt>
                <c:pt idx="353">
                  <c:v>0.0521169663263468</c:v>
                </c:pt>
                <c:pt idx="354">
                  <c:v>0.0521739423535723</c:v>
                </c:pt>
                <c:pt idx="355">
                  <c:v>0.0515930742038316</c:v>
                </c:pt>
                <c:pt idx="356">
                  <c:v>0.0520789423535724</c:v>
                </c:pt>
                <c:pt idx="357">
                  <c:v>0.0526324651835926</c:v>
                </c:pt>
                <c:pt idx="358">
                  <c:v>0.0525648105033131</c:v>
                </c:pt>
                <c:pt idx="359">
                  <c:v>0.0525941318502592</c:v>
                </c:pt>
                <c:pt idx="360">
                  <c:v>0.0525264771699798</c:v>
                </c:pt>
                <c:pt idx="361">
                  <c:v>0.0525557985169259</c:v>
                </c:pt>
                <c:pt idx="362">
                  <c:v>0.053474570775569</c:v>
                </c:pt>
                <c:pt idx="363">
                  <c:v>0.0524028344760875</c:v>
                </c:pt>
                <c:pt idx="364">
                  <c:v>0.0520342517141313</c:v>
                </c:pt>
                <c:pt idx="365">
                  <c:v>0.0528377146122155</c:v>
                </c:pt>
                <c:pt idx="366">
                  <c:v>0.0527817265986027</c:v>
                </c:pt>
                <c:pt idx="367">
                  <c:v>0.0527733932652693</c:v>
                </c:pt>
                <c:pt idx="368">
                  <c:v>0.0524691318502592</c:v>
                </c:pt>
                <c:pt idx="369">
                  <c:v>0.0530426546802795</c:v>
                </c:pt>
                <c:pt idx="370">
                  <c:v>0.0600972739602427</c:v>
                </c:pt>
                <c:pt idx="371">
                  <c:v>0.0516073955507777</c:v>
                </c:pt>
                <c:pt idx="372">
                  <c:v>0.0510098607343703</c:v>
                </c:pt>
                <c:pt idx="373">
                  <c:v>0.0504433139315757</c:v>
                </c:pt>
                <c:pt idx="374">
                  <c:v>0.0514877049113366</c:v>
                </c:pt>
                <c:pt idx="375">
                  <c:v>0.05143603824467</c:v>
                </c:pt>
                <c:pt idx="376">
                  <c:v>0.0509404794554881</c:v>
                </c:pt>
                <c:pt idx="377">
                  <c:v>0.0513670262582828</c:v>
                </c:pt>
                <c:pt idx="378">
                  <c:v>0.0517115970338518</c:v>
                </c:pt>
                <c:pt idx="379">
                  <c:v>0.05123103824467</c:v>
                </c:pt>
                <c:pt idx="380">
                  <c:v>0.050686158108542</c:v>
                </c:pt>
                <c:pt idx="381">
                  <c:v>0.0513576449794006</c:v>
                </c:pt>
                <c:pt idx="382">
                  <c:v>0.0515609183807979</c:v>
                </c:pt>
                <c:pt idx="383">
                  <c:v>0.052315059931936</c:v>
                </c:pt>
                <c:pt idx="384">
                  <c:v>0.0517148704352491</c:v>
                </c:pt>
                <c:pt idx="385">
                  <c:v>0.0507987528568855</c:v>
                </c:pt>
                <c:pt idx="386">
                  <c:v>0.0507897408704983</c:v>
                </c:pt>
                <c:pt idx="387">
                  <c:v>0.0509303595916161</c:v>
                </c:pt>
                <c:pt idx="388">
                  <c:v>0.0504364674691009</c:v>
                </c:pt>
                <c:pt idx="389">
                  <c:v>0.0518017865305387</c:v>
                </c:pt>
                <c:pt idx="390">
                  <c:v>0.050995978312734</c:v>
                </c:pt>
                <c:pt idx="391">
                  <c:v>0.0518897505713771</c:v>
                </c:pt>
                <c:pt idx="392">
                  <c:v>0.0515821558230336</c:v>
                </c:pt>
                <c:pt idx="393">
                  <c:v>0.0507220262582828</c:v>
                </c:pt>
                <c:pt idx="394">
                  <c:v>0.051905059931936</c:v>
                </c:pt>
                <c:pt idx="395">
                  <c:v>0.0533763670069866</c:v>
                </c:pt>
                <c:pt idx="396">
                  <c:v>0.0535659977144916</c:v>
                </c:pt>
                <c:pt idx="397">
                  <c:v>0.0533167362994815</c:v>
                </c:pt>
                <c:pt idx="398">
                  <c:v>0.0531561175783637</c:v>
                </c:pt>
                <c:pt idx="399">
                  <c:v>0.0531861175783637</c:v>
                </c:pt>
                <c:pt idx="400">
                  <c:v>0.0530188321905792</c:v>
                </c:pt>
                <c:pt idx="401">
                  <c:v>0.0532887722586431</c:v>
                </c:pt>
                <c:pt idx="402">
                  <c:v>0.0533204389253098</c:v>
                </c:pt>
                <c:pt idx="403">
                  <c:v>0.0536480336736533</c:v>
                </c:pt>
                <c:pt idx="404">
                  <c:v>0.0538869857281044</c:v>
                </c:pt>
                <c:pt idx="405">
                  <c:v>0.0539353190614378</c:v>
                </c:pt>
                <c:pt idx="406">
                  <c:v>0.0540329737417172</c:v>
                </c:pt>
                <c:pt idx="407">
                  <c:v>0.0540336523947711</c:v>
                </c:pt>
                <c:pt idx="408">
                  <c:v>0.0543779138097812</c:v>
                </c:pt>
                <c:pt idx="409">
                  <c:v>0.0535484628980842</c:v>
                </c:pt>
                <c:pt idx="410">
                  <c:v>0.0537247602722559</c:v>
                </c:pt>
                <c:pt idx="411">
                  <c:v>0.0537580936055893</c:v>
                </c:pt>
                <c:pt idx="412">
                  <c:v>0.0535941415511381</c:v>
                </c:pt>
                <c:pt idx="413">
                  <c:v>0.0539167362994815</c:v>
                </c:pt>
                <c:pt idx="414">
                  <c:v>0.0539534029661482</c:v>
                </c:pt>
                <c:pt idx="415">
                  <c:v>0.0538914269389226</c:v>
                </c:pt>
                <c:pt idx="416">
                  <c:v>0.0539247602722559</c:v>
                </c:pt>
                <c:pt idx="417">
                  <c:v>0.0539580936055893</c:v>
                </c:pt>
                <c:pt idx="418">
                  <c:v>0.0540407482858687</c:v>
                </c:pt>
                <c:pt idx="419">
                  <c:v>0.0540264269389226</c:v>
                </c:pt>
                <c:pt idx="420">
                  <c:v>0.0545529737417172</c:v>
                </c:pt>
                <c:pt idx="421">
                  <c:v>0.0544550097008788</c:v>
                </c:pt>
                <c:pt idx="422">
                  <c:v>0.0533162973741717</c:v>
                </c:pt>
                <c:pt idx="423">
                  <c:v>0.0535679041089024</c:v>
                </c:pt>
                <c:pt idx="424">
                  <c:v>0.0533839520544512</c:v>
                </c:pt>
                <c:pt idx="425">
                  <c:v>0.0533906187211179</c:v>
                </c:pt>
                <c:pt idx="426">
                  <c:v>0.0534466067347306</c:v>
                </c:pt>
                <c:pt idx="427">
                  <c:v>0.0534056187211179</c:v>
                </c:pt>
                <c:pt idx="428">
                  <c:v>0.0534122853877845</c:v>
                </c:pt>
                <c:pt idx="429">
                  <c:v>0.0530243812788821</c:v>
                </c:pt>
                <c:pt idx="430">
                  <c:v>0.0449783350599963</c:v>
                </c:pt>
                <c:pt idx="431">
                  <c:v>0.0533805587891818</c:v>
                </c:pt>
                <c:pt idx="432">
                  <c:v>0.0539380936055893</c:v>
                </c:pt>
                <c:pt idx="433">
                  <c:v>0.0537741415511381</c:v>
                </c:pt>
                <c:pt idx="434">
                  <c:v>0.0538008082178047</c:v>
                </c:pt>
                <c:pt idx="435">
                  <c:v>0.0538767962314175</c:v>
                </c:pt>
                <c:pt idx="436">
                  <c:v>0.0545956284219967</c:v>
                </c:pt>
                <c:pt idx="437">
                  <c:v>0.0545979737417172</c:v>
                </c:pt>
                <c:pt idx="438">
                  <c:v>0.0542534029661482</c:v>
                </c:pt>
                <c:pt idx="439">
                  <c:v>0.0538954988572458</c:v>
                </c:pt>
                <c:pt idx="440">
                  <c:v>0.0539188321905792</c:v>
                </c:pt>
                <c:pt idx="441">
                  <c:v>0.0543860576464277</c:v>
                </c:pt>
                <c:pt idx="442">
                  <c:v>0.0545723550205994</c:v>
                </c:pt>
                <c:pt idx="443">
                  <c:v>0.0533826546802795</c:v>
                </c:pt>
                <c:pt idx="444">
                  <c:v>0.0538282134694613</c:v>
                </c:pt>
                <c:pt idx="445">
                  <c:v>0.0548313070750506</c:v>
                </c:pt>
                <c:pt idx="446">
                  <c:v>0.0543880936055893</c:v>
                </c:pt>
                <c:pt idx="447">
                  <c:v>0.0531883932652694</c:v>
                </c:pt>
                <c:pt idx="448">
                  <c:v>0.0537225947483434</c:v>
                </c:pt>
                <c:pt idx="449">
                  <c:v>0.0534859880136128</c:v>
                </c:pt>
                <c:pt idx="450">
                  <c:v>0.054079510843633</c:v>
                </c:pt>
                <c:pt idx="451">
                  <c:v>0.0540025348164074</c:v>
                </c:pt>
                <c:pt idx="452">
                  <c:v>0.0544154389253098</c:v>
                </c:pt>
                <c:pt idx="453">
                  <c:v>0.0530661078774848</c:v>
                </c:pt>
                <c:pt idx="454">
                  <c:v>0.0528045011427542</c:v>
                </c:pt>
                <c:pt idx="455">
                  <c:v>0.0520413476052289</c:v>
                </c:pt>
                <c:pt idx="456">
                  <c:v>0.0530287625577643</c:v>
                </c:pt>
                <c:pt idx="457">
                  <c:v>0.0525715371019158</c:v>
                </c:pt>
                <c:pt idx="458">
                  <c:v>0.0526911678094209</c:v>
                </c:pt>
                <c:pt idx="459">
                  <c:v>0.0526678344760875</c:v>
                </c:pt>
                <c:pt idx="460">
                  <c:v>0.0528911078774848</c:v>
                </c:pt>
                <c:pt idx="461">
                  <c:v>0.0531720359591616</c:v>
                </c:pt>
                <c:pt idx="462">
                  <c:v>0.053315</c:v>
                </c:pt>
                <c:pt idx="463">
                  <c:v>0.0528711078774848</c:v>
                </c:pt>
                <c:pt idx="464">
                  <c:v>0.0519683236324545</c:v>
                </c:pt>
                <c:pt idx="465">
                  <c:v>0.0520712876732929</c:v>
                </c:pt>
                <c:pt idx="466">
                  <c:v>0.0520312876732929</c:v>
                </c:pt>
                <c:pt idx="467">
                  <c:v>0.0521885730610774</c:v>
                </c:pt>
                <c:pt idx="468">
                  <c:v>0.051760668952175</c:v>
                </c:pt>
                <c:pt idx="469">
                  <c:v>0.0525031438366464</c:v>
                </c:pt>
                <c:pt idx="470">
                  <c:v>0.0525817865305387</c:v>
                </c:pt>
                <c:pt idx="471">
                  <c:v>0.0526144412108182</c:v>
                </c:pt>
                <c:pt idx="472">
                  <c:v>0.0525994412108182</c:v>
                </c:pt>
                <c:pt idx="473">
                  <c:v>0.0523871558230336</c:v>
                </c:pt>
                <c:pt idx="474">
                  <c:v>0.0515270262582828</c:v>
                </c:pt>
                <c:pt idx="475">
                  <c:v>0.0513783835643905</c:v>
                </c:pt>
                <c:pt idx="476">
                  <c:v>0.0508318367615959</c:v>
                </c:pt>
                <c:pt idx="477">
                  <c:v>0.0513536929249494</c:v>
                </c:pt>
                <c:pt idx="478">
                  <c:v>0.0513036929249494</c:v>
                </c:pt>
                <c:pt idx="479">
                  <c:v>0.0513030142718956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404378"/>
        <c:axId val="58844684"/>
      </c:lineChart>
      <c:catAx>
        <c:axId val="61404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44684"/>
        <c:crosses val="autoZero"/>
        <c:auto val="1"/>
        <c:lblAlgn val="ctr"/>
        <c:lblOffset val="100"/>
        <c:noMultiLvlLbl val="0"/>
      </c:catAx>
      <c:valAx>
        <c:axId val="58844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04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190440</xdr:rowOff>
    </xdr:from>
    <xdr:to>
      <xdr:col>27</xdr:col>
      <xdr:colOff>78840</xdr:colOff>
      <xdr:row>20</xdr:row>
      <xdr:rowOff>189720</xdr:rowOff>
    </xdr:to>
    <xdr:graphicFrame>
      <xdr:nvGraphicFramePr>
        <xdr:cNvPr id="0" name="Chart 1"/>
        <xdr:cNvGraphicFramePr/>
      </xdr:nvGraphicFramePr>
      <xdr:xfrm>
        <a:off x="17880480" y="19044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3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12" min="8" style="0" width="20"/>
  </cols>
  <sheetData>
    <row r="1" customFormat="false" ht="26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customFormat="false" ht="15" hidden="false" customHeight="false" outlineLevel="0" collapsed="false">
      <c r="A2" s="3" t="n">
        <v>45551</v>
      </c>
      <c r="B2" s="4" t="n">
        <f aca="false">0.0671</f>
        <v>0.0671</v>
      </c>
      <c r="C2" s="5"/>
      <c r="D2" s="5"/>
      <c r="K2" s="4" t="n">
        <f aca="false">(A2-$A$2)/365</f>
        <v>0</v>
      </c>
    </row>
    <row r="3" customFormat="false" ht="15" hidden="false" customHeight="false" outlineLevel="0" collapsed="false">
      <c r="A3" s="3" t="n">
        <v>45552</v>
      </c>
      <c r="B3" s="4" t="n">
        <f aca="false">0.067</f>
        <v>0.067</v>
      </c>
      <c r="C3" s="4" t="n">
        <f aca="false">B2</f>
        <v>0.0671</v>
      </c>
      <c r="D3" s="4" t="n">
        <f aca="false">B3-C3</f>
        <v>-9.9999999999989E-005</v>
      </c>
      <c r="F3" s="6" t="s">
        <v>10</v>
      </c>
      <c r="G3" s="7" t="n">
        <f aca="false">COUNT(D2:D481)</f>
        <v>479</v>
      </c>
      <c r="H3" s="8" t="n">
        <f aca="false">G10+G9*C3</f>
        <v>-0.00035821629459608</v>
      </c>
      <c r="I3" s="8" t="n">
        <f aca="false">D3-H3</f>
        <v>0.000258216294596091</v>
      </c>
      <c r="J3" s="8" t="n">
        <f aca="false">C3+D3/(G12*G6)</f>
        <v>0.0641407191832325</v>
      </c>
      <c r="K3" s="4" t="n">
        <f aca="false">(A3-$A$2)/365</f>
        <v>0.00273972602739726</v>
      </c>
    </row>
    <row r="4" customFormat="false" ht="15" hidden="false" customHeight="false" outlineLevel="0" collapsed="false">
      <c r="A4" s="3" t="n">
        <v>45554</v>
      </c>
      <c r="B4" s="4" t="n">
        <f aca="false">0.0674</f>
        <v>0.0674</v>
      </c>
      <c r="C4" s="4" t="n">
        <f aca="false">B3</f>
        <v>0.067</v>
      </c>
      <c r="D4" s="4" t="n">
        <f aca="false">B4-C4</f>
        <v>0.000399999999999998</v>
      </c>
      <c r="H4" s="8" t="n">
        <f aca="false">G10+G9*C4</f>
        <v>-0.000354837095182717</v>
      </c>
      <c r="I4" s="8" t="n">
        <f aca="false">D4-H4</f>
        <v>0.000754837095182714</v>
      </c>
      <c r="J4" s="8" t="n">
        <f aca="false">C4+D4/(G12*G6)</f>
        <v>0.0788371232670711</v>
      </c>
      <c r="K4" s="4" t="n">
        <f aca="false">(A4-$A$2)/365</f>
        <v>0.00821917808219178</v>
      </c>
    </row>
    <row r="5" customFormat="false" ht="15" hidden="false" customHeight="false" outlineLevel="0" collapsed="false">
      <c r="A5" s="3" t="n">
        <v>45555</v>
      </c>
      <c r="B5" s="4" t="n">
        <f aca="false">0.0675</f>
        <v>0.0675</v>
      </c>
      <c r="C5" s="4" t="n">
        <f aca="false">B4</f>
        <v>0.0674</v>
      </c>
      <c r="D5" s="4" t="n">
        <f aca="false">B5-C5</f>
        <v>0.000100000000000003</v>
      </c>
      <c r="F5" s="6" t="s">
        <v>11</v>
      </c>
      <c r="G5" s="5" t="s">
        <v>12</v>
      </c>
      <c r="H5" s="8" t="n">
        <f aca="false">G10+G9*C5</f>
        <v>-0.000368353892836171</v>
      </c>
      <c r="I5" s="8" t="n">
        <f aca="false">D5-H5</f>
        <v>0.000468353892836174</v>
      </c>
      <c r="J5" s="8" t="n">
        <f aca="false">C5+D5/(G12*G6)</f>
        <v>0.0703592808167679</v>
      </c>
      <c r="K5" s="4" t="n">
        <f aca="false">(A5-$A$2)/365</f>
        <v>0.010958904109589</v>
      </c>
    </row>
    <row r="6" customFormat="false" ht="15" hidden="false" customHeight="false" outlineLevel="0" collapsed="false">
      <c r="A6" s="3" t="n">
        <v>45558</v>
      </c>
      <c r="B6" s="4" t="n">
        <f aca="false">0.068</f>
        <v>0.068</v>
      </c>
      <c r="C6" s="4" t="n">
        <f aca="false">B5</f>
        <v>0.0675</v>
      </c>
      <c r="D6" s="4" t="n">
        <f aca="false">B6-C6</f>
        <v>0.0005</v>
      </c>
      <c r="F6" s="6" t="s">
        <v>13</v>
      </c>
      <c r="G6" s="9" t="n">
        <f aca="false">1/365</f>
        <v>0.00273972602739726</v>
      </c>
      <c r="H6" s="8" t="n">
        <f aca="false">G10+G9*C6</f>
        <v>-0.000371733092249535</v>
      </c>
      <c r="I6" s="8" t="n">
        <f aca="false">D6-H6</f>
        <v>0.000871733092249536</v>
      </c>
      <c r="J6" s="8" t="n">
        <f aca="false">C6+D6/(G12*G6)</f>
        <v>0.082296404083839</v>
      </c>
      <c r="K6" s="4" t="n">
        <f aca="false">(A6-$A$2)/365</f>
        <v>0.0191780821917808</v>
      </c>
    </row>
    <row r="7" customFormat="false" ht="15" hidden="false" customHeight="false" outlineLevel="0" collapsed="false">
      <c r="A7" s="3" t="n">
        <v>45559</v>
      </c>
      <c r="B7" s="4" t="n">
        <f aca="false">0.068</f>
        <v>0.068</v>
      </c>
      <c r="C7" s="4" t="n">
        <f aca="false">B6</f>
        <v>0.068</v>
      </c>
      <c r="D7" s="4" t="n">
        <f aca="false">B7-C7</f>
        <v>0</v>
      </c>
      <c r="H7" s="8" t="n">
        <f aca="false">G10+G9*C7</f>
        <v>-0.000388629089316353</v>
      </c>
      <c r="I7" s="8" t="n">
        <f aca="false">D7-H7</f>
        <v>0.000388629089316353</v>
      </c>
      <c r="J7" s="8" t="n">
        <f aca="false">C7+D7/(G12*G6)</f>
        <v>0.068</v>
      </c>
      <c r="K7" s="4" t="n">
        <f aca="false">(A7-$A$2)/365</f>
        <v>0.0219178082191781</v>
      </c>
    </row>
    <row r="8" customFormat="false" ht="15" hidden="false" customHeight="false" outlineLevel="0" collapsed="false">
      <c r="A8" s="3" t="n">
        <v>45560</v>
      </c>
      <c r="B8" s="4" t="n">
        <f aca="false">0.068</f>
        <v>0.068</v>
      </c>
      <c r="C8" s="4" t="n">
        <f aca="false">B7</f>
        <v>0.068</v>
      </c>
      <c r="D8" s="4" t="n">
        <f aca="false">B8-C8</f>
        <v>0</v>
      </c>
      <c r="F8" s="6" t="s">
        <v>14</v>
      </c>
      <c r="H8" s="8" t="n">
        <f aca="false">G10+G9*C8</f>
        <v>-0.000388629089316353</v>
      </c>
      <c r="I8" s="8" t="n">
        <f aca="false">D8-H8</f>
        <v>0.000388629089316353</v>
      </c>
      <c r="J8" s="8" t="n">
        <f aca="false">C8+D8/(G12*G6)</f>
        <v>0.068</v>
      </c>
      <c r="K8" s="4" t="n">
        <f aca="false">(A8-$A$2)/365</f>
        <v>0.0246575342465753</v>
      </c>
    </row>
    <row r="9" customFormat="false" ht="15" hidden="false" customHeight="false" outlineLevel="0" collapsed="false">
      <c r="A9" s="3" t="n">
        <v>45561</v>
      </c>
      <c r="B9" s="4" t="n">
        <f aca="false">0.0665</f>
        <v>0.0665</v>
      </c>
      <c r="C9" s="4" t="n">
        <f aca="false">B8</f>
        <v>0.068</v>
      </c>
      <c r="D9" s="4" t="n">
        <f aca="false">B9-C9</f>
        <v>-0.0015</v>
      </c>
      <c r="F9" s="6" t="s">
        <v>15</v>
      </c>
      <c r="G9" s="8" t="n">
        <f aca="false">SLOPE(D3:D481,C3:C481)</f>
        <v>-0.0337919941336364</v>
      </c>
      <c r="H9" s="8" t="n">
        <f aca="false">G10+G9*C9</f>
        <v>-0.000388629089316353</v>
      </c>
      <c r="I9" s="8" t="n">
        <f aca="false">D9-H9</f>
        <v>-0.00111137091068365</v>
      </c>
      <c r="J9" s="8" t="n">
        <f aca="false">C9+D9/(G12*G6)</f>
        <v>0.0236107877484831</v>
      </c>
      <c r="K9" s="4" t="n">
        <f aca="false">(A9-$A$2)/365</f>
        <v>0.0273972602739726</v>
      </c>
    </row>
    <row r="10" customFormat="false" ht="15" hidden="false" customHeight="false" outlineLevel="0" collapsed="false">
      <c r="A10" s="3" t="n">
        <v>45562</v>
      </c>
      <c r="B10" s="4" t="n">
        <f aca="false">0.066</f>
        <v>0.066</v>
      </c>
      <c r="C10" s="4" t="n">
        <f aca="false">B9</f>
        <v>0.0665</v>
      </c>
      <c r="D10" s="4" t="n">
        <f aca="false">B10-C10</f>
        <v>-0.0005</v>
      </c>
      <c r="F10" s="6" t="s">
        <v>16</v>
      </c>
      <c r="G10" s="8" t="n">
        <f aca="false">INTERCEPT(D3:D481,C3:C481)</f>
        <v>0.00190922651177092</v>
      </c>
      <c r="H10" s="8" t="n">
        <f aca="false">G10+G9*C10</f>
        <v>-0.000337941098115898</v>
      </c>
      <c r="I10" s="8" t="n">
        <f aca="false">D10-H10</f>
        <v>-0.000162058901884102</v>
      </c>
      <c r="J10" s="8" t="n">
        <f aca="false">C10+D10/(G12*G6)</f>
        <v>0.051703595916161</v>
      </c>
      <c r="K10" s="4" t="n">
        <f aca="false">(A10-$A$2)/365</f>
        <v>0.0301369863013699</v>
      </c>
    </row>
    <row r="11" customFormat="false" ht="15" hidden="false" customHeight="false" outlineLevel="0" collapsed="false">
      <c r="A11" s="3" t="n">
        <v>45565</v>
      </c>
      <c r="B11" s="4" t="n">
        <f aca="false">0.0676</f>
        <v>0.0676</v>
      </c>
      <c r="C11" s="4" t="n">
        <f aca="false">B10</f>
        <v>0.066</v>
      </c>
      <c r="D11" s="4" t="n">
        <f aca="false">B11-C11</f>
        <v>0.00159999999999999</v>
      </c>
      <c r="H11" s="8" t="n">
        <f aca="false">G10+G9*C11</f>
        <v>-0.00032104510104908</v>
      </c>
      <c r="I11" s="8" t="n">
        <f aca="false">D11-H11</f>
        <v>0.00192104510104907</v>
      </c>
      <c r="J11" s="8" t="n">
        <f aca="false">C11+D11/(G12*G6)</f>
        <v>0.113348493068284</v>
      </c>
      <c r="K11" s="4" t="n">
        <f aca="false">(A11-$A$2)/365</f>
        <v>0.0383561643835616</v>
      </c>
    </row>
    <row r="12" customFormat="false" ht="15" hidden="false" customHeight="false" outlineLevel="0" collapsed="false">
      <c r="A12" s="3" t="n">
        <v>45566</v>
      </c>
      <c r="B12" s="4" t="n">
        <f aca="false">0.0655</f>
        <v>0.0655</v>
      </c>
      <c r="C12" s="4" t="n">
        <f aca="false">B11</f>
        <v>0.0676</v>
      </c>
      <c r="D12" s="4" t="n">
        <f aca="false">B12-C12</f>
        <v>-0.00209999999999999</v>
      </c>
      <c r="F12" s="6" t="s">
        <v>17</v>
      </c>
      <c r="G12" s="10" t="n">
        <f aca="false">-G9/G6</f>
        <v>12.3340778587773</v>
      </c>
      <c r="H12" s="8" t="n">
        <f aca="false">G10+G9*C12</f>
        <v>-0.000375112291662898</v>
      </c>
      <c r="I12" s="8" t="n">
        <f aca="false">D12-H12</f>
        <v>-0.00172488770833709</v>
      </c>
      <c r="J12" s="8" t="n">
        <f aca="false">C12+D12/(G12*G6)</f>
        <v>0.00545510284787663</v>
      </c>
      <c r="K12" s="4" t="n">
        <f aca="false">(A12-$A$2)/365</f>
        <v>0.0410958904109589</v>
      </c>
    </row>
    <row r="13" customFormat="false" ht="15" hidden="false" customHeight="false" outlineLevel="0" collapsed="false">
      <c r="A13" s="3" t="n">
        <v>45568</v>
      </c>
      <c r="B13" s="4" t="n">
        <f aca="false">0.0654</f>
        <v>0.0654</v>
      </c>
      <c r="C13" s="4" t="n">
        <f aca="false">B12</f>
        <v>0.0655</v>
      </c>
      <c r="D13" s="4" t="n">
        <f aca="false">B13-C13</f>
        <v>-0.000100000000000003</v>
      </c>
      <c r="F13" s="6" t="s">
        <v>18</v>
      </c>
      <c r="G13" s="4" t="n">
        <f aca="false">-G10/G9</f>
        <v>0.0564993739114818</v>
      </c>
      <c r="H13" s="8" t="n">
        <f aca="false">G10+G9*C13</f>
        <v>-0.000304149103982262</v>
      </c>
      <c r="I13" s="8" t="n">
        <f aca="false">D13-H13</f>
        <v>0.000204149103982259</v>
      </c>
      <c r="J13" s="8" t="n">
        <f aca="false">C13+D13/(G12*G6)</f>
        <v>0.0625407191832321</v>
      </c>
      <c r="K13" s="4" t="n">
        <f aca="false">(A13-$A$2)/365</f>
        <v>0.0465753424657534</v>
      </c>
    </row>
    <row r="14" customFormat="false" ht="15" hidden="false" customHeight="false" outlineLevel="0" collapsed="false">
      <c r="A14" s="3" t="n">
        <v>45569</v>
      </c>
      <c r="B14" s="4" t="n">
        <f aca="false">0.065</f>
        <v>0.065</v>
      </c>
      <c r="C14" s="4" t="n">
        <f aca="false">B13</f>
        <v>0.0654</v>
      </c>
      <c r="D14" s="4" t="n">
        <f aca="false">B14-C14</f>
        <v>-0.000399999999999998</v>
      </c>
      <c r="F14" s="6" t="s">
        <v>19</v>
      </c>
      <c r="G14" s="4" t="n">
        <f aca="false">AVERAGE(B2:B481)</f>
        <v>0.05751625</v>
      </c>
      <c r="H14" s="8" t="n">
        <f aca="false">G10+G9*C14</f>
        <v>-0.000300769904568898</v>
      </c>
      <c r="I14" s="8" t="n">
        <f aca="false">D14-H14</f>
        <v>-9.92300954310995E-005</v>
      </c>
      <c r="J14" s="8" t="n">
        <f aca="false">C14+D14/(G12*G6)</f>
        <v>0.0535628767329289</v>
      </c>
      <c r="K14" s="4" t="n">
        <f aca="false">(A14-$A$2)/365</f>
        <v>0.0493150684931507</v>
      </c>
    </row>
    <row r="15" customFormat="false" ht="15" hidden="false" customHeight="false" outlineLevel="0" collapsed="false">
      <c r="A15" s="3" t="n">
        <v>45572</v>
      </c>
      <c r="B15" s="4" t="n">
        <f aca="false">0.065</f>
        <v>0.065</v>
      </c>
      <c r="C15" s="4" t="n">
        <f aca="false">B14</f>
        <v>0.065</v>
      </c>
      <c r="D15" s="4" t="n">
        <f aca="false">B15-C15</f>
        <v>0</v>
      </c>
      <c r="H15" s="8" t="n">
        <f aca="false">G10+G9*C15</f>
        <v>-0.000287253106915444</v>
      </c>
      <c r="I15" s="8" t="n">
        <f aca="false">D15-H15</f>
        <v>0.000287253106915444</v>
      </c>
      <c r="J15" s="8" t="n">
        <f aca="false">C15+D15/(G12*G6)</f>
        <v>0.065</v>
      </c>
      <c r="K15" s="4" t="n">
        <f aca="false">(A15-$A$2)/365</f>
        <v>0.0575342465753425</v>
      </c>
    </row>
    <row r="16" customFormat="false" ht="15" hidden="false" customHeight="false" outlineLevel="0" collapsed="false">
      <c r="A16" s="3" t="n">
        <v>45573</v>
      </c>
      <c r="B16" s="4" t="n">
        <f aca="false">0.065</f>
        <v>0.065</v>
      </c>
      <c r="C16" s="4" t="n">
        <f aca="false">B15</f>
        <v>0.065</v>
      </c>
      <c r="D16" s="4" t="n">
        <f aca="false">B16-C16</f>
        <v>0</v>
      </c>
      <c r="F16" s="6" t="s">
        <v>20</v>
      </c>
      <c r="G16" s="8" t="n">
        <f aca="false">STDEV(I3:I481)</f>
        <v>0.00145037644144391</v>
      </c>
      <c r="H16" s="8" t="n">
        <f aca="false">G10+G9*C16</f>
        <v>-0.000287253106915444</v>
      </c>
      <c r="I16" s="8" t="n">
        <f aca="false">D16-H16</f>
        <v>0.000287253106915444</v>
      </c>
      <c r="J16" s="8" t="n">
        <f aca="false">C16+D16/(G12*G6)</f>
        <v>0.065</v>
      </c>
      <c r="K16" s="4" t="n">
        <f aca="false">(A16-$A$2)/365</f>
        <v>0.0602739726027397</v>
      </c>
    </row>
    <row r="17" customFormat="false" ht="15" hidden="false" customHeight="false" outlineLevel="0" collapsed="false">
      <c r="A17" s="3" t="n">
        <v>45574</v>
      </c>
      <c r="B17" s="4" t="n">
        <f aca="false">0.065</f>
        <v>0.065</v>
      </c>
      <c r="C17" s="4" t="n">
        <f aca="false">B16</f>
        <v>0.065</v>
      </c>
      <c r="D17" s="4" t="n">
        <f aca="false">B17-C17</f>
        <v>0</v>
      </c>
      <c r="F17" s="6" t="s">
        <v>21</v>
      </c>
      <c r="G17" s="10" t="n">
        <f aca="false">G16/SQRT(G6)</f>
        <v>0.0277094030067748</v>
      </c>
      <c r="H17" s="8" t="n">
        <f aca="false">G10+G9*C17</f>
        <v>-0.000287253106915444</v>
      </c>
      <c r="I17" s="8" t="n">
        <f aca="false">D17-H17</f>
        <v>0.000287253106915444</v>
      </c>
      <c r="J17" s="8" t="n">
        <f aca="false">C17+D17/(G12*G6)</f>
        <v>0.065</v>
      </c>
      <c r="K17" s="4" t="n">
        <f aca="false">(A17-$A$2)/365</f>
        <v>0.063013698630137</v>
      </c>
    </row>
    <row r="18" customFormat="false" ht="15" hidden="false" customHeight="false" outlineLevel="0" collapsed="false">
      <c r="A18" s="3" t="n">
        <v>45575</v>
      </c>
      <c r="B18" s="4" t="n">
        <f aca="false">0.065</f>
        <v>0.065</v>
      </c>
      <c r="C18" s="4" t="n">
        <f aca="false">B17</f>
        <v>0.065</v>
      </c>
      <c r="D18" s="4" t="n">
        <f aca="false">B18-C18</f>
        <v>0</v>
      </c>
      <c r="H18" s="8" t="n">
        <f aca="false">G10+G9*C18</f>
        <v>-0.000287253106915444</v>
      </c>
      <c r="I18" s="8" t="n">
        <f aca="false">D18-H18</f>
        <v>0.000287253106915444</v>
      </c>
      <c r="J18" s="8" t="n">
        <f aca="false">C18+D18/(G12*G6)</f>
        <v>0.065</v>
      </c>
      <c r="K18" s="4" t="n">
        <f aca="false">(A18-$A$2)/365</f>
        <v>0.0657534246575342</v>
      </c>
    </row>
    <row r="19" customFormat="false" ht="15" hidden="false" customHeight="false" outlineLevel="0" collapsed="false">
      <c r="A19" s="3" t="n">
        <v>45576</v>
      </c>
      <c r="B19" s="4" t="n">
        <f aca="false">0.065</f>
        <v>0.065</v>
      </c>
      <c r="C19" s="4" t="n">
        <f aca="false">B18</f>
        <v>0.065</v>
      </c>
      <c r="D19" s="4" t="n">
        <f aca="false">B19-C19</f>
        <v>0</v>
      </c>
      <c r="F19" s="6" t="s">
        <v>22</v>
      </c>
      <c r="G19" s="10" t="n">
        <f aca="false">B481</f>
        <v>0.0504</v>
      </c>
      <c r="H19" s="8" t="n">
        <f aca="false">G10+G9*C19</f>
        <v>-0.000287253106915444</v>
      </c>
      <c r="I19" s="8" t="n">
        <f aca="false">D19-H19</f>
        <v>0.000287253106915444</v>
      </c>
      <c r="J19" s="8" t="n">
        <f aca="false">C19+D19/(G12*G6)</f>
        <v>0.065</v>
      </c>
      <c r="K19" s="4" t="n">
        <f aca="false">(A19-$A$2)/365</f>
        <v>0.0684931506849315</v>
      </c>
    </row>
    <row r="20" customFormat="false" ht="15" hidden="false" customHeight="false" outlineLevel="0" collapsed="false">
      <c r="A20" s="3" t="n">
        <v>45579</v>
      </c>
      <c r="B20" s="4" t="n">
        <f aca="false">0.065</f>
        <v>0.065</v>
      </c>
      <c r="C20" s="4" t="n">
        <f aca="false">B19</f>
        <v>0.065</v>
      </c>
      <c r="D20" s="4" t="n">
        <f aca="false">B20-C20</f>
        <v>0</v>
      </c>
      <c r="H20" s="8" t="n">
        <f aca="false">G10+G9*C20</f>
        <v>-0.000287253106915444</v>
      </c>
      <c r="I20" s="8" t="n">
        <f aca="false">D20-H20</f>
        <v>0.000287253106915444</v>
      </c>
      <c r="J20" s="8" t="n">
        <f aca="false">C20+D20/(G12*G6)</f>
        <v>0.065</v>
      </c>
      <c r="K20" s="4" t="n">
        <f aca="false">(A20-$A$2)/365</f>
        <v>0.0767123287671233</v>
      </c>
    </row>
    <row r="21" customFormat="false" ht="15" hidden="false" customHeight="false" outlineLevel="0" collapsed="false">
      <c r="A21" s="3" t="n">
        <v>45580</v>
      </c>
      <c r="B21" s="4" t="n">
        <f aca="false">0.065</f>
        <v>0.065</v>
      </c>
      <c r="C21" s="4" t="n">
        <f aca="false">B20</f>
        <v>0.065</v>
      </c>
      <c r="D21" s="4" t="n">
        <f aca="false">B21-C21</f>
        <v>0</v>
      </c>
      <c r="F21" s="6" t="s">
        <v>23</v>
      </c>
      <c r="H21" s="8" t="n">
        <f aca="false">G10+G9*C21</f>
        <v>-0.000287253106915444</v>
      </c>
      <c r="I21" s="8" t="n">
        <f aca="false">D21-H21</f>
        <v>0.000287253106915444</v>
      </c>
      <c r="J21" s="8" t="n">
        <f aca="false">C21+D21/(G12*G6)</f>
        <v>0.065</v>
      </c>
      <c r="K21" s="4" t="n">
        <f aca="false">(A21-$A$2)/365</f>
        <v>0.0794520547945206</v>
      </c>
    </row>
    <row r="22" customFormat="false" ht="15" hidden="false" customHeight="false" outlineLevel="0" collapsed="false">
      <c r="A22" s="3" t="n">
        <v>45581</v>
      </c>
      <c r="B22" s="4" t="n">
        <f aca="false">0.065</f>
        <v>0.065</v>
      </c>
      <c r="C22" s="4" t="n">
        <f aca="false">B21</f>
        <v>0.065</v>
      </c>
      <c r="D22" s="4" t="n">
        <f aca="false">B22-C22</f>
        <v>0</v>
      </c>
      <c r="F22" s="6" t="s">
        <v>24</v>
      </c>
      <c r="G22" s="7" t="n">
        <v>60</v>
      </c>
      <c r="H22" s="8" t="n">
        <f aca="false">G10+G9*C22</f>
        <v>-0.000287253106915444</v>
      </c>
      <c r="I22" s="8" t="n">
        <f aca="false">D22-H22</f>
        <v>0.000287253106915444</v>
      </c>
      <c r="J22" s="8" t="n">
        <f aca="false">C22+D22/(G12*G6)</f>
        <v>0.065</v>
      </c>
      <c r="K22" s="4" t="n">
        <f aca="false">(A22-$A$2)/365</f>
        <v>0.0821917808219178</v>
      </c>
    </row>
    <row r="23" customFormat="false" ht="15" hidden="false" customHeight="false" outlineLevel="0" collapsed="false">
      <c r="A23" s="3" t="n">
        <v>45582</v>
      </c>
      <c r="B23" s="4" t="n">
        <f aca="false">0.065</f>
        <v>0.065</v>
      </c>
      <c r="C23" s="4" t="n">
        <f aca="false">B22</f>
        <v>0.065</v>
      </c>
      <c r="D23" s="4" t="n">
        <f aca="false">B23-C23</f>
        <v>0</v>
      </c>
      <c r="F23" s="5" t="s">
        <v>25</v>
      </c>
      <c r="H23" s="8" t="n">
        <f aca="false">G10+G9*C23</f>
        <v>-0.000287253106915444</v>
      </c>
      <c r="I23" s="8" t="n">
        <f aca="false">D23-H23</f>
        <v>0.000287253106915444</v>
      </c>
      <c r="J23" s="8" t="n">
        <f aca="false">C23+D23/(G12*G6)</f>
        <v>0.065</v>
      </c>
      <c r="K23" s="4" t="n">
        <f aca="false">(A23-$A$2)/365</f>
        <v>0.0849315068493151</v>
      </c>
    </row>
    <row r="24" customFormat="false" ht="15" hidden="false" customHeight="false" outlineLevel="0" collapsed="false">
      <c r="A24" s="3" t="n">
        <v>45583</v>
      </c>
      <c r="B24" s="4" t="n">
        <f aca="false">0.065</f>
        <v>0.065</v>
      </c>
      <c r="C24" s="4" t="n">
        <f aca="false">B23</f>
        <v>0.065</v>
      </c>
      <c r="D24" s="4" t="n">
        <f aca="false">B24-C24</f>
        <v>0</v>
      </c>
      <c r="H24" s="8" t="n">
        <f aca="false">G10+G9*C24</f>
        <v>-0.000287253106915444</v>
      </c>
      <c r="I24" s="8" t="n">
        <f aca="false">D24-H24</f>
        <v>0.000287253106915444</v>
      </c>
      <c r="J24" s="8" t="n">
        <f aca="false">C24+D24/(G12*G6)</f>
        <v>0.065</v>
      </c>
      <c r="K24" s="4" t="n">
        <f aca="false">(A24-$A$2)/365</f>
        <v>0.0876712328767123</v>
      </c>
    </row>
    <row r="25" customFormat="false" ht="15" hidden="false" customHeight="false" outlineLevel="0" collapsed="false">
      <c r="A25" s="3" t="n">
        <v>45586</v>
      </c>
      <c r="B25" s="4" t="n">
        <f aca="false">0.065</f>
        <v>0.065</v>
      </c>
      <c r="C25" s="4" t="n">
        <f aca="false">B24</f>
        <v>0.065</v>
      </c>
      <c r="D25" s="4" t="n">
        <f aca="false">B25-C25</f>
        <v>0</v>
      </c>
      <c r="F25" s="6" t="s">
        <v>26</v>
      </c>
      <c r="H25" s="8" t="n">
        <f aca="false">G10+G9*C25</f>
        <v>-0.000287253106915444</v>
      </c>
      <c r="I25" s="8" t="n">
        <f aca="false">D25-H25</f>
        <v>0.000287253106915444</v>
      </c>
      <c r="J25" s="8" t="n">
        <f aca="false">C25+D25/(G12*G6)</f>
        <v>0.065</v>
      </c>
      <c r="K25" s="4" t="n">
        <f aca="false">(A25-$A$2)/365</f>
        <v>0.0958904109589041</v>
      </c>
    </row>
    <row r="26" customFormat="false" ht="15" hidden="false" customHeight="false" outlineLevel="0" collapsed="false">
      <c r="A26" s="3" t="n">
        <v>45587</v>
      </c>
      <c r="B26" s="4" t="n">
        <f aca="false">0.0673</f>
        <v>0.0673</v>
      </c>
      <c r="C26" s="4" t="n">
        <f aca="false">B25</f>
        <v>0.065</v>
      </c>
      <c r="D26" s="4" t="n">
        <f aca="false">B26-C26</f>
        <v>0.0023</v>
      </c>
      <c r="F26" s="6" t="s">
        <v>27</v>
      </c>
      <c r="G26" s="5" t="s">
        <v>28</v>
      </c>
      <c r="H26" s="8" t="n">
        <f aca="false">G10+G9*C26</f>
        <v>-0.000287253106915444</v>
      </c>
      <c r="I26" s="8" t="n">
        <f aca="false">D26-H26</f>
        <v>0.00258725310691544</v>
      </c>
      <c r="J26" s="8" t="n">
        <f aca="false">C26+D26/(G12*G6)</f>
        <v>0.133063458785659</v>
      </c>
      <c r="K26" s="4" t="n">
        <f aca="false">(A26-$A$2)/365</f>
        <v>0.0986301369863014</v>
      </c>
    </row>
    <row r="27" customFormat="false" ht="15" hidden="false" customHeight="false" outlineLevel="0" collapsed="false">
      <c r="A27" s="3" t="n">
        <v>45588</v>
      </c>
      <c r="B27" s="4" t="n">
        <f aca="false">0.0678</f>
        <v>0.0678</v>
      </c>
      <c r="C27" s="4" t="n">
        <f aca="false">B26</f>
        <v>0.0673</v>
      </c>
      <c r="D27" s="4" t="n">
        <f aca="false">B27-C27</f>
        <v>0.0005</v>
      </c>
      <c r="F27" s="6" t="s">
        <v>29</v>
      </c>
      <c r="G27" s="8" t="n">
        <f aca="false">SLOPE(L62:L481,K62:K481)</f>
        <v>-0.00799328537563744</v>
      </c>
      <c r="H27" s="8" t="n">
        <f aca="false">G10+G9*C27</f>
        <v>-0.000364974693422807</v>
      </c>
      <c r="I27" s="8" t="n">
        <f aca="false">D27-H27</f>
        <v>0.000864974693422808</v>
      </c>
      <c r="J27" s="8" t="n">
        <f aca="false">C27+D27/(G12*G6)</f>
        <v>0.082096404083839</v>
      </c>
      <c r="K27" s="4" t="n">
        <f aca="false">(A27-$A$2)/365</f>
        <v>0.101369863013699</v>
      </c>
    </row>
    <row r="28" customFormat="false" ht="15" hidden="false" customHeight="false" outlineLevel="0" collapsed="false">
      <c r="A28" s="3" t="n">
        <v>45589</v>
      </c>
      <c r="B28" s="4" t="n">
        <f aca="false">0.0675</f>
        <v>0.0675</v>
      </c>
      <c r="C28" s="4" t="n">
        <f aca="false">B27</f>
        <v>0.0678</v>
      </c>
      <c r="D28" s="4" t="n">
        <f aca="false">B28-C28</f>
        <v>-0.000299999999999995</v>
      </c>
      <c r="F28" s="6" t="s">
        <v>30</v>
      </c>
      <c r="G28" s="8" t="n">
        <f aca="false">INTERCEPT(L62:L481,K62:K481)</f>
        <v>0.0652683766243443</v>
      </c>
      <c r="H28" s="8" t="n">
        <f aca="false">G10+G9*C28</f>
        <v>-0.000381870690489626</v>
      </c>
      <c r="I28" s="8" t="n">
        <f aca="false">D28-H28</f>
        <v>8.18706904896309E-005</v>
      </c>
      <c r="J28" s="8" t="n">
        <f aca="false">C28+D28/(G12*G6)</f>
        <v>0.0589221575496968</v>
      </c>
      <c r="K28" s="4" t="n">
        <f aca="false">(A28-$A$2)/365</f>
        <v>0.104109589041096</v>
      </c>
    </row>
    <row r="29" customFormat="false" ht="15" hidden="false" customHeight="false" outlineLevel="0" collapsed="false">
      <c r="A29" s="3" t="n">
        <v>45590</v>
      </c>
      <c r="B29" s="4" t="n">
        <f aca="false">0.067</f>
        <v>0.067</v>
      </c>
      <c r="C29" s="4" t="n">
        <f aca="false">B28</f>
        <v>0.0675</v>
      </c>
      <c r="D29" s="4" t="n">
        <f aca="false">B29-C29</f>
        <v>-0.0005</v>
      </c>
      <c r="F29" s="6" t="s">
        <v>31</v>
      </c>
      <c r="G29" s="8" t="n">
        <f aca="false">K481</f>
        <v>1.98082191780822</v>
      </c>
      <c r="H29" s="8" t="n">
        <f aca="false">G10+G9*C29</f>
        <v>-0.000371733092249535</v>
      </c>
      <c r="I29" s="8" t="n">
        <f aca="false">D29-H29</f>
        <v>-0.000128266907750465</v>
      </c>
      <c r="J29" s="8" t="n">
        <f aca="false">C29+D29/(G12*G6)</f>
        <v>0.052703595916161</v>
      </c>
      <c r="K29" s="4" t="n">
        <f aca="false">(A29-$A$2)/365</f>
        <v>0.106849315068493</v>
      </c>
    </row>
    <row r="30" customFormat="false" ht="15" hidden="false" customHeight="false" outlineLevel="0" collapsed="false">
      <c r="A30" s="3" t="n">
        <v>45593</v>
      </c>
      <c r="B30" s="4" t="n">
        <f aca="false">0.0675</f>
        <v>0.0675</v>
      </c>
      <c r="C30" s="4" t="n">
        <f aca="false">B29</f>
        <v>0.067</v>
      </c>
      <c r="D30" s="4" t="n">
        <f aca="false">B30-C30</f>
        <v>0.0005</v>
      </c>
      <c r="F30" s="6" t="s">
        <v>32</v>
      </c>
      <c r="G30" s="10" t="n">
        <f aca="false">G28+G27*G29</f>
        <v>0.0494351017569858</v>
      </c>
      <c r="H30" s="8" t="n">
        <f aca="false">G10+G9*C30</f>
        <v>-0.000354837095182717</v>
      </c>
      <c r="I30" s="8" t="n">
        <f aca="false">D30-H30</f>
        <v>0.000854837095182717</v>
      </c>
      <c r="J30" s="8" t="n">
        <f aca="false">C30+D30/(G12*G6)</f>
        <v>0.081796404083839</v>
      </c>
      <c r="K30" s="4" t="n">
        <f aca="false">(A30-$A$2)/365</f>
        <v>0.115068493150685</v>
      </c>
    </row>
    <row r="31" customFormat="false" ht="15" hidden="false" customHeight="false" outlineLevel="0" collapsed="false">
      <c r="A31" s="3" t="n">
        <v>45594</v>
      </c>
      <c r="B31" s="4" t="n">
        <f aca="false">0.065</f>
        <v>0.065</v>
      </c>
      <c r="C31" s="4" t="n">
        <f aca="false">B30</f>
        <v>0.0675</v>
      </c>
      <c r="D31" s="4" t="n">
        <f aca="false">B31-C31</f>
        <v>-0.0025</v>
      </c>
      <c r="H31" s="8" t="n">
        <f aca="false">G10+G9*C31</f>
        <v>-0.000371733092249535</v>
      </c>
      <c r="I31" s="8" t="n">
        <f aca="false">D31-H31</f>
        <v>-0.00212826690775047</v>
      </c>
      <c r="J31" s="8" t="n">
        <f aca="false">C31+D31/(G12*G6)</f>
        <v>-0.00648202041919486</v>
      </c>
      <c r="K31" s="4" t="n">
        <f aca="false">(A31-$A$2)/365</f>
        <v>0.117808219178082</v>
      </c>
    </row>
    <row r="32" customFormat="false" ht="15" hidden="false" customHeight="false" outlineLevel="0" collapsed="false">
      <c r="A32" s="3" t="n">
        <v>45595</v>
      </c>
      <c r="B32" s="4" t="n">
        <f aca="false">0.065</f>
        <v>0.065</v>
      </c>
      <c r="C32" s="4" t="n">
        <f aca="false">B31</f>
        <v>0.065</v>
      </c>
      <c r="D32" s="4" t="n">
        <f aca="false">B32-C32</f>
        <v>0</v>
      </c>
      <c r="F32" s="6" t="s">
        <v>33</v>
      </c>
      <c r="H32" s="8" t="n">
        <f aca="false">G10+G9*C32</f>
        <v>-0.000287253106915444</v>
      </c>
      <c r="I32" s="8" t="n">
        <f aca="false">D32-H32</f>
        <v>0.000287253106915444</v>
      </c>
      <c r="J32" s="8" t="n">
        <f aca="false">C32+D32/(G12*G6)</f>
        <v>0.065</v>
      </c>
      <c r="K32" s="4" t="n">
        <f aca="false">(A32-$A$2)/365</f>
        <v>0.120547945205479</v>
      </c>
    </row>
    <row r="33" customFormat="false" ht="15" hidden="false" customHeight="false" outlineLevel="0" collapsed="false">
      <c r="A33" s="3" t="n">
        <v>45596</v>
      </c>
      <c r="B33" s="4" t="n">
        <f aca="false">0.0661</f>
        <v>0.0661</v>
      </c>
      <c r="C33" s="4" t="n">
        <f aca="false">B32</f>
        <v>0.065</v>
      </c>
      <c r="D33" s="4" t="n">
        <f aca="false">B33-C33</f>
        <v>0.0011</v>
      </c>
      <c r="F33" s="11" t="s">
        <v>34</v>
      </c>
      <c r="G33" s="11"/>
      <c r="H33" s="8" t="n">
        <f aca="false">G10+G9*C33</f>
        <v>-0.000287253106915444</v>
      </c>
      <c r="I33" s="8" t="n">
        <f aca="false">D33-H33</f>
        <v>0.00138725310691545</v>
      </c>
      <c r="J33" s="8" t="n">
        <f aca="false">C33+D33/(G12*G6)</f>
        <v>0.0975520889844458</v>
      </c>
      <c r="K33" s="4" t="n">
        <f aca="false">(A33-$A$2)/365</f>
        <v>0.123287671232877</v>
      </c>
    </row>
    <row r="34" customFormat="false" ht="15" hidden="false" customHeight="false" outlineLevel="0" collapsed="false">
      <c r="A34" s="3" t="n">
        <v>45600</v>
      </c>
      <c r="B34" s="4" t="n">
        <f aca="false">0.065</f>
        <v>0.065</v>
      </c>
      <c r="C34" s="4" t="n">
        <f aca="false">B33</f>
        <v>0.0661</v>
      </c>
      <c r="D34" s="4" t="n">
        <f aca="false">B34-C34</f>
        <v>-0.0011</v>
      </c>
      <c r="F34" s="6" t="s">
        <v>35</v>
      </c>
      <c r="G34" s="6" t="s">
        <v>36</v>
      </c>
      <c r="H34" s="8" t="n">
        <f aca="false">G10+G9*C34</f>
        <v>-0.000324424300462444</v>
      </c>
      <c r="I34" s="8" t="n">
        <f aca="false">D34-H34</f>
        <v>-0.00077557569953756</v>
      </c>
      <c r="J34" s="8" t="n">
        <f aca="false">C34+D34/(G12*G6)</f>
        <v>0.0335479110155542</v>
      </c>
      <c r="K34" s="4" t="n">
        <f aca="false">(A34-$A$2)/365</f>
        <v>0.134246575342466</v>
      </c>
    </row>
    <row r="35" customFormat="false" ht="15" hidden="false" customHeight="false" outlineLevel="0" collapsed="false">
      <c r="A35" s="3" t="n">
        <v>45601</v>
      </c>
      <c r="B35" s="4" t="n">
        <f aca="false">0.064</f>
        <v>0.064</v>
      </c>
      <c r="C35" s="4" t="n">
        <f aca="false">B34</f>
        <v>0.065</v>
      </c>
      <c r="D35" s="4" t="n">
        <f aca="false">B35-C35</f>
        <v>-0.001</v>
      </c>
      <c r="F35" s="12" t="n">
        <v>3.5</v>
      </c>
      <c r="G35" s="10" t="n">
        <f aca="false">G19*EXP(-G12*F35)+G30*(1-EXP(-G12*F35))+G27*(F35-(1-EXP(-G12*F35))/G12)</f>
        <v>0.0221066680402019</v>
      </c>
      <c r="H35" s="8" t="n">
        <f aca="false">G10+G9*C35</f>
        <v>-0.000287253106915444</v>
      </c>
      <c r="I35" s="8" t="n">
        <f aca="false">D35-H35</f>
        <v>-0.000712746893084557</v>
      </c>
      <c r="J35" s="8" t="n">
        <f aca="false">C35+D35/(G12*G6)</f>
        <v>0.0354071918323221</v>
      </c>
      <c r="K35" s="4" t="n">
        <f aca="false">(A35-$A$2)/365</f>
        <v>0.136986301369863</v>
      </c>
    </row>
    <row r="36" customFormat="false" ht="15" hidden="false" customHeight="false" outlineLevel="0" collapsed="false">
      <c r="A36" s="3" t="n">
        <v>45602</v>
      </c>
      <c r="B36" s="4" t="n">
        <f aca="false">0.064</f>
        <v>0.064</v>
      </c>
      <c r="C36" s="4" t="n">
        <f aca="false">B35</f>
        <v>0.064</v>
      </c>
      <c r="D36" s="4" t="n">
        <f aca="false">B36-C36</f>
        <v>0</v>
      </c>
      <c r="F36" s="12" t="n">
        <v>4.5</v>
      </c>
      <c r="G36" s="10" t="n">
        <f aca="false">G19*EXP(-G12*F36)+G30*(1-EXP(-G12*F36))+G27*(F36-(1-EXP(-G12*F36))/G12)</f>
        <v>0.0141133826645645</v>
      </c>
      <c r="H36" s="8" t="n">
        <f aca="false">G10+G9*C36</f>
        <v>-0.000253461112781808</v>
      </c>
      <c r="I36" s="8" t="n">
        <f aca="false">D36-H36</f>
        <v>0.000253461112781808</v>
      </c>
      <c r="J36" s="8" t="n">
        <f aca="false">C36+D36/(G12*G6)</f>
        <v>0.064</v>
      </c>
      <c r="K36" s="4" t="n">
        <f aca="false">(A36-$A$2)/365</f>
        <v>0.13972602739726</v>
      </c>
    </row>
    <row r="37" customFormat="false" ht="15" hidden="false" customHeight="false" outlineLevel="0" collapsed="false">
      <c r="A37" s="3" t="n">
        <v>45603</v>
      </c>
      <c r="B37" s="4" t="n">
        <f aca="false">0.0649</f>
        <v>0.0649</v>
      </c>
      <c r="C37" s="4" t="n">
        <f aca="false">B36</f>
        <v>0.064</v>
      </c>
      <c r="D37" s="4" t="n">
        <f aca="false">B37-C37</f>
        <v>0.000899999999999998</v>
      </c>
      <c r="F37" s="12" t="n">
        <v>5.5</v>
      </c>
      <c r="G37" s="10" t="n">
        <f aca="false">G19*EXP(-G12*F37)+G30*(1-EXP(-G12*F37))+G27*(F37-(1-EXP(-G12*F37))/G12)</f>
        <v>0.00612009728892705</v>
      </c>
      <c r="H37" s="8" t="n">
        <f aca="false">G10+G9*C37</f>
        <v>-0.000253461112781808</v>
      </c>
      <c r="I37" s="8" t="n">
        <f aca="false">D37-H37</f>
        <v>0.00115346111278181</v>
      </c>
      <c r="J37" s="8" t="n">
        <f aca="false">C37+D37/(G12*G6)</f>
        <v>0.0906335273509101</v>
      </c>
      <c r="K37" s="4" t="n">
        <f aca="false">(A37-$A$2)/365</f>
        <v>0.142465753424658</v>
      </c>
    </row>
    <row r="38" customFormat="false" ht="15" hidden="false" customHeight="false" outlineLevel="0" collapsed="false">
      <c r="A38" s="3" t="n">
        <v>45604</v>
      </c>
      <c r="B38" s="4" t="n">
        <f aca="false">0.065</f>
        <v>0.065</v>
      </c>
      <c r="C38" s="4" t="n">
        <f aca="false">B37</f>
        <v>0.0649</v>
      </c>
      <c r="D38" s="4" t="n">
        <f aca="false">B38-C38</f>
        <v>0.000100000000000003</v>
      </c>
      <c r="H38" s="8" t="n">
        <f aca="false">G10+G9*C38</f>
        <v>-0.00028387390750208</v>
      </c>
      <c r="I38" s="8" t="n">
        <f aca="false">D38-H38</f>
        <v>0.000383873907502083</v>
      </c>
      <c r="J38" s="8" t="n">
        <f aca="false">C38+D38/(G12*G6)</f>
        <v>0.0678592808167679</v>
      </c>
      <c r="K38" s="4" t="n">
        <f aca="false">(A38-$A$2)/365</f>
        <v>0.145205479452055</v>
      </c>
    </row>
    <row r="39" customFormat="false" ht="15" hidden="false" customHeight="false" outlineLevel="0" collapsed="false">
      <c r="A39" s="3" t="n">
        <v>45607</v>
      </c>
      <c r="B39" s="4" t="n">
        <f aca="false">0.065</f>
        <v>0.065</v>
      </c>
      <c r="C39" s="4" t="n">
        <f aca="false">B38</f>
        <v>0.065</v>
      </c>
      <c r="D39" s="4" t="n">
        <f aca="false">B39-C39</f>
        <v>0</v>
      </c>
      <c r="H39" s="8" t="n">
        <f aca="false">G10+G9*C39</f>
        <v>-0.000287253106915444</v>
      </c>
      <c r="I39" s="8" t="n">
        <f aca="false">D39-H39</f>
        <v>0.000287253106915444</v>
      </c>
      <c r="J39" s="8" t="n">
        <f aca="false">C39+D39/(G12*G6)</f>
        <v>0.065</v>
      </c>
      <c r="K39" s="4" t="n">
        <f aca="false">(A39-$A$2)/365</f>
        <v>0.153424657534247</v>
      </c>
    </row>
    <row r="40" customFormat="false" ht="15" hidden="false" customHeight="false" outlineLevel="0" collapsed="false">
      <c r="A40" s="3" t="n">
        <v>45608</v>
      </c>
      <c r="B40" s="4" t="n">
        <f aca="false">0.0654</f>
        <v>0.0654</v>
      </c>
      <c r="C40" s="4" t="n">
        <f aca="false">B39</f>
        <v>0.065</v>
      </c>
      <c r="D40" s="4" t="n">
        <f aca="false">B40-C40</f>
        <v>0.000399999999999998</v>
      </c>
      <c r="H40" s="8" t="n">
        <f aca="false">G10+G9*C40</f>
        <v>-0.000287253106915444</v>
      </c>
      <c r="I40" s="8" t="n">
        <f aca="false">D40-H40</f>
        <v>0.000687253106915441</v>
      </c>
      <c r="J40" s="8" t="n">
        <f aca="false">C40+D40/(G12*G6)</f>
        <v>0.0768371232670711</v>
      </c>
      <c r="K40" s="4" t="n">
        <f aca="false">(A40-$A$2)/365</f>
        <v>0.156164383561644</v>
      </c>
    </row>
    <row r="41" customFormat="false" ht="15" hidden="false" customHeight="false" outlineLevel="0" collapsed="false">
      <c r="A41" s="3" t="n">
        <v>45609</v>
      </c>
      <c r="B41" s="4" t="n">
        <f aca="false">0.0646</f>
        <v>0.0646</v>
      </c>
      <c r="C41" s="4" t="n">
        <f aca="false">B40</f>
        <v>0.0654</v>
      </c>
      <c r="D41" s="4" t="n">
        <f aca="false">B41-C41</f>
        <v>-0.000799999999999995</v>
      </c>
      <c r="H41" s="8" t="n">
        <f aca="false">G10+G9*C41</f>
        <v>-0.000300769904568898</v>
      </c>
      <c r="I41" s="8" t="n">
        <f aca="false">D41-H41</f>
        <v>-0.000499230095431097</v>
      </c>
      <c r="J41" s="8" t="n">
        <f aca="false">C41+D41/(G12*G6)</f>
        <v>0.0417257534658578</v>
      </c>
      <c r="K41" s="4" t="n">
        <f aca="false">(A41-$A$2)/365</f>
        <v>0.158904109589041</v>
      </c>
    </row>
    <row r="42" customFormat="false" ht="15" hidden="false" customHeight="false" outlineLevel="0" collapsed="false">
      <c r="A42" s="3" t="n">
        <v>45610</v>
      </c>
      <c r="B42" s="4" t="n">
        <f aca="false">0.065</f>
        <v>0.065</v>
      </c>
      <c r="C42" s="4" t="n">
        <f aca="false">B41</f>
        <v>0.0646</v>
      </c>
      <c r="D42" s="4" t="n">
        <f aca="false">B42-C42</f>
        <v>0.000399999999999998</v>
      </c>
      <c r="H42" s="8" t="n">
        <f aca="false">G10+G9*C42</f>
        <v>-0.000273736309261989</v>
      </c>
      <c r="I42" s="8" t="n">
        <f aca="false">D42-H42</f>
        <v>0.000673736309261987</v>
      </c>
      <c r="J42" s="8" t="n">
        <f aca="false">C42+D42/(G12*G6)</f>
        <v>0.0764371232670711</v>
      </c>
      <c r="K42" s="4" t="n">
        <f aca="false">(A42-$A$2)/365</f>
        <v>0.161643835616438</v>
      </c>
    </row>
    <row r="43" customFormat="false" ht="15" hidden="false" customHeight="false" outlineLevel="0" collapsed="false">
      <c r="A43" s="3" t="n">
        <v>45614</v>
      </c>
      <c r="B43" s="4" t="n">
        <f aca="false">0.0652</f>
        <v>0.0652</v>
      </c>
      <c r="C43" s="4" t="n">
        <f aca="false">B42</f>
        <v>0.065</v>
      </c>
      <c r="D43" s="4" t="n">
        <f aca="false">B43-C43</f>
        <v>0.000199999999999992</v>
      </c>
      <c r="H43" s="8" t="n">
        <f aca="false">G10+G9*C43</f>
        <v>-0.000287253106915444</v>
      </c>
      <c r="I43" s="8" t="n">
        <f aca="false">D43-H43</f>
        <v>0.000487253106915436</v>
      </c>
      <c r="J43" s="8" t="n">
        <f aca="false">C43+D43/(G12*G6)</f>
        <v>0.0709185616335353</v>
      </c>
      <c r="K43" s="4" t="n">
        <f aca="false">(A43-$A$2)/365</f>
        <v>0.172602739726027</v>
      </c>
    </row>
    <row r="44" customFormat="false" ht="15" hidden="false" customHeight="false" outlineLevel="0" collapsed="false">
      <c r="A44" s="3" t="n">
        <v>45615</v>
      </c>
      <c r="B44" s="4" t="n">
        <f aca="false">0.0657</f>
        <v>0.0657</v>
      </c>
      <c r="C44" s="4" t="n">
        <f aca="false">B43</f>
        <v>0.0652</v>
      </c>
      <c r="D44" s="4" t="n">
        <f aca="false">B44-C44</f>
        <v>0.000500000000000014</v>
      </c>
      <c r="H44" s="8" t="n">
        <f aca="false">G10+G9*C44</f>
        <v>-0.000294011505742171</v>
      </c>
      <c r="I44" s="8" t="n">
        <f aca="false">D44-H44</f>
        <v>0.000794011505742185</v>
      </c>
      <c r="J44" s="8" t="n">
        <f aca="false">C44+D44/(G12*G6)</f>
        <v>0.0799964040838394</v>
      </c>
      <c r="K44" s="4" t="n">
        <f aca="false">(A44-$A$2)/365</f>
        <v>0.175342465753425</v>
      </c>
    </row>
    <row r="45" customFormat="false" ht="15" hidden="false" customHeight="false" outlineLevel="0" collapsed="false">
      <c r="A45" s="3" t="n">
        <v>45617</v>
      </c>
      <c r="B45" s="4" t="n">
        <f aca="false">0.0671</f>
        <v>0.0671</v>
      </c>
      <c r="C45" s="4" t="n">
        <f aca="false">B44</f>
        <v>0.0657</v>
      </c>
      <c r="D45" s="4" t="n">
        <f aca="false">B45-C45</f>
        <v>0.00139999999999998</v>
      </c>
      <c r="H45" s="8" t="n">
        <f aca="false">G10+G9*C45</f>
        <v>-0.00031090750280899</v>
      </c>
      <c r="I45" s="8" t="n">
        <f aca="false">D45-H45</f>
        <v>0.00171090750280897</v>
      </c>
      <c r="J45" s="8" t="n">
        <f aca="false">C45+D45/(G12*G6)</f>
        <v>0.107129931434749</v>
      </c>
      <c r="K45" s="4" t="n">
        <f aca="false">(A45-$A$2)/365</f>
        <v>0.180821917808219</v>
      </c>
    </row>
    <row r="46" customFormat="false" ht="15" hidden="false" customHeight="false" outlineLevel="0" collapsed="false">
      <c r="A46" s="3" t="n">
        <v>45618</v>
      </c>
      <c r="B46" s="4" t="n">
        <f aca="false">0.0684</f>
        <v>0.0684</v>
      </c>
      <c r="C46" s="4" t="n">
        <f aca="false">B45</f>
        <v>0.0671</v>
      </c>
      <c r="D46" s="4" t="n">
        <f aca="false">B46-C46</f>
        <v>0.00130000000000001</v>
      </c>
      <c r="H46" s="8" t="n">
        <f aca="false">G10+G9*C46</f>
        <v>-0.00035821629459608</v>
      </c>
      <c r="I46" s="8" t="n">
        <f aca="false">D46-H46</f>
        <v>0.00165821629459609</v>
      </c>
      <c r="J46" s="8" t="n">
        <f aca="false">C46+D46/(G12*G6)</f>
        <v>0.105570650617982</v>
      </c>
      <c r="K46" s="4" t="n">
        <f aca="false">(A46-$A$2)/365</f>
        <v>0.183561643835616</v>
      </c>
    </row>
    <row r="47" customFormat="false" ht="15" hidden="false" customHeight="false" outlineLevel="0" collapsed="false">
      <c r="A47" s="3" t="n">
        <v>45621</v>
      </c>
      <c r="B47" s="4" t="n">
        <f aca="false">0.0685</f>
        <v>0.0685</v>
      </c>
      <c r="C47" s="4" t="n">
        <f aca="false">B46</f>
        <v>0.0684</v>
      </c>
      <c r="D47" s="4" t="n">
        <f aca="false">B47-C47</f>
        <v>9.9999999999989E-005</v>
      </c>
      <c r="H47" s="8" t="n">
        <f aca="false">G10+G9*C47</f>
        <v>-0.000402145886969808</v>
      </c>
      <c r="I47" s="8" t="n">
        <f aca="false">D47-H47</f>
        <v>0.000502145886969797</v>
      </c>
      <c r="J47" s="8" t="n">
        <f aca="false">C47+D47/(G12*G6)</f>
        <v>0.0713592808167675</v>
      </c>
      <c r="K47" s="4" t="n">
        <f aca="false">(A47-$A$2)/365</f>
        <v>0.191780821917808</v>
      </c>
    </row>
    <row r="48" customFormat="false" ht="15" hidden="false" customHeight="false" outlineLevel="0" collapsed="false">
      <c r="A48" s="3" t="n">
        <v>45622</v>
      </c>
      <c r="B48" s="4" t="n">
        <f aca="false">0.0684</f>
        <v>0.0684</v>
      </c>
      <c r="C48" s="4" t="n">
        <f aca="false">B47</f>
        <v>0.0685</v>
      </c>
      <c r="D48" s="4" t="n">
        <f aca="false">B48-C48</f>
        <v>-9.9999999999989E-005</v>
      </c>
      <c r="H48" s="8" t="n">
        <f aca="false">G10+G9*C48</f>
        <v>-0.000405525086383171</v>
      </c>
      <c r="I48" s="8" t="n">
        <f aca="false">D48-H48</f>
        <v>0.000305525086383182</v>
      </c>
      <c r="J48" s="8" t="n">
        <f aca="false">C48+D48/(G12*G6)</f>
        <v>0.0655407191832325</v>
      </c>
      <c r="K48" s="4" t="n">
        <f aca="false">(A48-$A$2)/365</f>
        <v>0.194520547945205</v>
      </c>
    </row>
    <row r="49" customFormat="false" ht="15" hidden="false" customHeight="false" outlineLevel="0" collapsed="false">
      <c r="A49" s="3" t="n">
        <v>45623</v>
      </c>
      <c r="B49" s="4" t="n">
        <f aca="false">0.0684</f>
        <v>0.0684</v>
      </c>
      <c r="C49" s="4" t="n">
        <f aca="false">B48</f>
        <v>0.0684</v>
      </c>
      <c r="D49" s="4" t="n">
        <f aca="false">B49-C49</f>
        <v>0</v>
      </c>
      <c r="H49" s="8" t="n">
        <f aca="false">G10+G9*C49</f>
        <v>-0.000402145886969808</v>
      </c>
      <c r="I49" s="8" t="n">
        <f aca="false">D49-H49</f>
        <v>0.000402145886969808</v>
      </c>
      <c r="J49" s="8" t="n">
        <f aca="false">C49+D49/(G12*G6)</f>
        <v>0.0684</v>
      </c>
      <c r="K49" s="4" t="n">
        <f aca="false">(A49-$A$2)/365</f>
        <v>0.197260273972603</v>
      </c>
    </row>
    <row r="50" customFormat="false" ht="15" hidden="false" customHeight="false" outlineLevel="0" collapsed="false">
      <c r="A50" s="3" t="n">
        <v>45624</v>
      </c>
      <c r="B50" s="4" t="n">
        <f aca="false">0.0682</f>
        <v>0.0682</v>
      </c>
      <c r="C50" s="4" t="n">
        <f aca="false">B49</f>
        <v>0.0684</v>
      </c>
      <c r="D50" s="4" t="n">
        <f aca="false">B50-C50</f>
        <v>-0.000200000000000006</v>
      </c>
      <c r="H50" s="8" t="n">
        <f aca="false">G10+G9*C50</f>
        <v>-0.000402145886969808</v>
      </c>
      <c r="I50" s="8" t="n">
        <f aca="false">D50-H50</f>
        <v>0.000202145886969802</v>
      </c>
      <c r="J50" s="8" t="n">
        <f aca="false">C50+D50/(G12*G6)</f>
        <v>0.0624814383664643</v>
      </c>
      <c r="K50" s="4" t="n">
        <f aca="false">(A50-$A$2)/365</f>
        <v>0.2</v>
      </c>
    </row>
    <row r="51" customFormat="false" ht="15" hidden="false" customHeight="false" outlineLevel="0" collapsed="false">
      <c r="A51" s="3" t="n">
        <v>45625</v>
      </c>
      <c r="B51" s="4" t="n">
        <f aca="false">0.0676</f>
        <v>0.0676</v>
      </c>
      <c r="C51" s="4" t="n">
        <f aca="false">B50</f>
        <v>0.0682</v>
      </c>
      <c r="D51" s="4" t="n">
        <f aca="false">B51-C51</f>
        <v>-0.000600000000000003</v>
      </c>
      <c r="H51" s="8" t="n">
        <f aca="false">G10+G9*C51</f>
        <v>-0.00039538748814308</v>
      </c>
      <c r="I51" s="8" t="n">
        <f aca="false">D51-H51</f>
        <v>-0.000204612511856923</v>
      </c>
      <c r="J51" s="8" t="n">
        <f aca="false">C51+D51/(G12*G6)</f>
        <v>0.0504443150993932</v>
      </c>
      <c r="K51" s="4" t="n">
        <f aca="false">(A51-$A$2)/365</f>
        <v>0.202739726027397</v>
      </c>
    </row>
    <row r="52" customFormat="false" ht="15" hidden="false" customHeight="false" outlineLevel="0" collapsed="false">
      <c r="A52" s="3" t="n">
        <v>45628</v>
      </c>
      <c r="B52" s="4" t="n">
        <f aca="false">0.066</f>
        <v>0.066</v>
      </c>
      <c r="C52" s="4" t="n">
        <f aca="false">B51</f>
        <v>0.0676</v>
      </c>
      <c r="D52" s="4" t="n">
        <f aca="false">B52-C52</f>
        <v>-0.00159999999999999</v>
      </c>
      <c r="H52" s="8" t="n">
        <f aca="false">G10+G9*C52</f>
        <v>-0.000375112291662898</v>
      </c>
      <c r="I52" s="8" t="n">
        <f aca="false">D52-H52</f>
        <v>-0.00122488770833709</v>
      </c>
      <c r="J52" s="8" t="n">
        <f aca="false">C52+D52/(G12*G6)</f>
        <v>0.0202515069317156</v>
      </c>
      <c r="K52" s="4" t="n">
        <f aca="false">(A52-$A$2)/365</f>
        <v>0.210958904109589</v>
      </c>
    </row>
    <row r="53" customFormat="false" ht="15" hidden="false" customHeight="false" outlineLevel="0" collapsed="false">
      <c r="A53" s="3" t="n">
        <v>45629</v>
      </c>
      <c r="B53" s="4" t="n">
        <f aca="false">0.065</f>
        <v>0.065</v>
      </c>
      <c r="C53" s="4" t="n">
        <f aca="false">B52</f>
        <v>0.066</v>
      </c>
      <c r="D53" s="4" t="n">
        <f aca="false">B53-C53</f>
        <v>-0.001</v>
      </c>
      <c r="H53" s="8" t="n">
        <f aca="false">G10+G9*C53</f>
        <v>-0.00032104510104908</v>
      </c>
      <c r="I53" s="8" t="n">
        <f aca="false">D53-H53</f>
        <v>-0.000678954898950921</v>
      </c>
      <c r="J53" s="8" t="n">
        <f aca="false">C53+D53/(G12*G6)</f>
        <v>0.0364071918323221</v>
      </c>
      <c r="K53" s="4" t="n">
        <f aca="false">(A53-$A$2)/365</f>
        <v>0.213698630136986</v>
      </c>
    </row>
    <row r="54" customFormat="false" ht="15" hidden="false" customHeight="false" outlineLevel="0" collapsed="false">
      <c r="A54" s="3" t="n">
        <v>45630</v>
      </c>
      <c r="B54" s="4" t="n">
        <f aca="false">0.065</f>
        <v>0.065</v>
      </c>
      <c r="C54" s="4" t="n">
        <f aca="false">B53</f>
        <v>0.065</v>
      </c>
      <c r="D54" s="4" t="n">
        <f aca="false">B54-C54</f>
        <v>0</v>
      </c>
      <c r="H54" s="8" t="n">
        <f aca="false">G10+G9*C54</f>
        <v>-0.000287253106915444</v>
      </c>
      <c r="I54" s="8" t="n">
        <f aca="false">D54-H54</f>
        <v>0.000287253106915444</v>
      </c>
      <c r="J54" s="8" t="n">
        <f aca="false">C54+D54/(G12*G6)</f>
        <v>0.065</v>
      </c>
      <c r="K54" s="4" t="n">
        <f aca="false">(A54-$A$2)/365</f>
        <v>0.216438356164384</v>
      </c>
    </row>
    <row r="55" customFormat="false" ht="15" hidden="false" customHeight="false" outlineLevel="0" collapsed="false">
      <c r="A55" s="3" t="n">
        <v>45631</v>
      </c>
      <c r="B55" s="4" t="n">
        <f aca="false">0.066</f>
        <v>0.066</v>
      </c>
      <c r="C55" s="4" t="n">
        <f aca="false">B54</f>
        <v>0.065</v>
      </c>
      <c r="D55" s="4" t="n">
        <f aca="false">B55-C55</f>
        <v>0.001</v>
      </c>
      <c r="H55" s="8" t="n">
        <f aca="false">G10+G9*C55</f>
        <v>-0.000287253106915444</v>
      </c>
      <c r="I55" s="8" t="n">
        <f aca="false">D55-H55</f>
        <v>0.00128725310691544</v>
      </c>
      <c r="J55" s="8" t="n">
        <f aca="false">C55+D55/(G12*G6)</f>
        <v>0.094592808167678</v>
      </c>
      <c r="K55" s="4" t="n">
        <f aca="false">(A55-$A$2)/365</f>
        <v>0.219178082191781</v>
      </c>
    </row>
    <row r="56" customFormat="false" ht="15" hidden="false" customHeight="false" outlineLevel="0" collapsed="false">
      <c r="A56" s="3" t="n">
        <v>45632</v>
      </c>
      <c r="B56" s="4" t="n">
        <f aca="false">0.0654</f>
        <v>0.0654</v>
      </c>
      <c r="C56" s="4" t="n">
        <f aca="false">B55</f>
        <v>0.066</v>
      </c>
      <c r="D56" s="4" t="n">
        <f aca="false">B56-C56</f>
        <v>-0.000600000000000003</v>
      </c>
      <c r="H56" s="8" t="n">
        <f aca="false">G10+G9*C56</f>
        <v>-0.00032104510104908</v>
      </c>
      <c r="I56" s="8" t="n">
        <f aca="false">D56-H56</f>
        <v>-0.000278954898950923</v>
      </c>
      <c r="J56" s="8" t="n">
        <f aca="false">C56+D56/(G12*G6)</f>
        <v>0.0482443150993932</v>
      </c>
      <c r="K56" s="4" t="n">
        <f aca="false">(A56-$A$2)/365</f>
        <v>0.221917808219178</v>
      </c>
    </row>
    <row r="57" customFormat="false" ht="15" hidden="false" customHeight="false" outlineLevel="0" collapsed="false">
      <c r="A57" s="3" t="n">
        <v>45635</v>
      </c>
      <c r="B57" s="4" t="n">
        <f aca="false">0.0667</f>
        <v>0.0667</v>
      </c>
      <c r="C57" s="4" t="n">
        <f aca="false">B56</f>
        <v>0.0654</v>
      </c>
      <c r="D57" s="4" t="n">
        <f aca="false">B57-C57</f>
        <v>0.0013</v>
      </c>
      <c r="H57" s="8" t="n">
        <f aca="false">G10+G9*C57</f>
        <v>-0.000300769904568898</v>
      </c>
      <c r="I57" s="8" t="n">
        <f aca="false">D57-H57</f>
        <v>0.00160076990456889</v>
      </c>
      <c r="J57" s="8" t="n">
        <f aca="false">C57+D57/(G12*G6)</f>
        <v>0.103870650617981</v>
      </c>
      <c r="K57" s="4" t="n">
        <f aca="false">(A57-$A$2)/365</f>
        <v>0.23013698630137</v>
      </c>
    </row>
    <row r="58" customFormat="false" ht="15" hidden="false" customHeight="false" outlineLevel="0" collapsed="false">
      <c r="A58" s="3" t="n">
        <v>45636</v>
      </c>
      <c r="B58" s="4" t="n">
        <f aca="false">0.068</f>
        <v>0.068</v>
      </c>
      <c r="C58" s="4" t="n">
        <f aca="false">B57</f>
        <v>0.0667</v>
      </c>
      <c r="D58" s="4" t="n">
        <f aca="false">B58-C58</f>
        <v>0.00130000000000001</v>
      </c>
      <c r="H58" s="8" t="n">
        <f aca="false">G10+G9*C58</f>
        <v>-0.000344699496942625</v>
      </c>
      <c r="I58" s="8" t="n">
        <f aca="false">D58-H58</f>
        <v>0.00164469949694263</v>
      </c>
      <c r="J58" s="8" t="n">
        <f aca="false">C58+D58/(G12*G6)</f>
        <v>0.105170650617982</v>
      </c>
      <c r="K58" s="4" t="n">
        <f aca="false">(A58-$A$2)/365</f>
        <v>0.232876712328767</v>
      </c>
    </row>
    <row r="59" customFormat="false" ht="15" hidden="false" customHeight="false" outlineLevel="0" collapsed="false">
      <c r="A59" s="3" t="n">
        <v>45637</v>
      </c>
      <c r="B59" s="4" t="n">
        <f aca="false">0.0684</f>
        <v>0.0684</v>
      </c>
      <c r="C59" s="4" t="n">
        <f aca="false">B58</f>
        <v>0.068</v>
      </c>
      <c r="D59" s="4" t="n">
        <f aca="false">B59-C59</f>
        <v>0.000399999999999998</v>
      </c>
      <c r="H59" s="8" t="n">
        <f aca="false">G10+G9*C59</f>
        <v>-0.000388629089316353</v>
      </c>
      <c r="I59" s="8" t="n">
        <f aca="false">D59-H59</f>
        <v>0.000788629089316351</v>
      </c>
      <c r="J59" s="8" t="n">
        <f aca="false">C59+D59/(G12*G6)</f>
        <v>0.0798371232670711</v>
      </c>
      <c r="K59" s="4" t="n">
        <f aca="false">(A59-$A$2)/365</f>
        <v>0.235616438356164</v>
      </c>
    </row>
    <row r="60" customFormat="false" ht="15" hidden="false" customHeight="false" outlineLevel="0" collapsed="false">
      <c r="A60" s="3" t="n">
        <v>45638</v>
      </c>
      <c r="B60" s="4" t="n">
        <f aca="false">0.0676</f>
        <v>0.0676</v>
      </c>
      <c r="C60" s="4" t="n">
        <f aca="false">B59</f>
        <v>0.0684</v>
      </c>
      <c r="D60" s="4" t="n">
        <f aca="false">B60-C60</f>
        <v>-0.000800000000000009</v>
      </c>
      <c r="H60" s="8" t="n">
        <f aca="false">G10+G9*C60</f>
        <v>-0.000402145886969808</v>
      </c>
      <c r="I60" s="8" t="n">
        <f aca="false">D60-H60</f>
        <v>-0.000397854113030201</v>
      </c>
      <c r="J60" s="8" t="n">
        <f aca="false">C60+D60/(G12*G6)</f>
        <v>0.0447257534658574</v>
      </c>
      <c r="K60" s="4" t="n">
        <f aca="false">(A60-$A$2)/365</f>
        <v>0.238356164383562</v>
      </c>
    </row>
    <row r="61" customFormat="false" ht="15" hidden="false" customHeight="false" outlineLevel="0" collapsed="false">
      <c r="A61" s="3" t="n">
        <v>45639</v>
      </c>
      <c r="B61" s="4" t="n">
        <f aca="false">0.0676</f>
        <v>0.0676</v>
      </c>
      <c r="C61" s="4" t="n">
        <f aca="false">B60</f>
        <v>0.0676</v>
      </c>
      <c r="D61" s="4" t="n">
        <f aca="false">B61-C61</f>
        <v>0</v>
      </c>
      <c r="H61" s="8" t="n">
        <f aca="false">G10+G9*C61</f>
        <v>-0.000375112291662898</v>
      </c>
      <c r="I61" s="8" t="n">
        <f aca="false">D61-H61</f>
        <v>0.000375112291662898</v>
      </c>
      <c r="J61" s="8" t="n">
        <f aca="false">C61+D61/(G12*G6)</f>
        <v>0.0676</v>
      </c>
      <c r="K61" s="4" t="n">
        <f aca="false">(A61-$A$2)/365</f>
        <v>0.241095890410959</v>
      </c>
    </row>
    <row r="62" customFormat="false" ht="15" hidden="false" customHeight="false" outlineLevel="0" collapsed="false">
      <c r="A62" s="3" t="n">
        <v>45642</v>
      </c>
      <c r="B62" s="4" t="n">
        <f aca="false">0.0679</f>
        <v>0.0679</v>
      </c>
      <c r="C62" s="4" t="n">
        <f aca="false">B61</f>
        <v>0.0676</v>
      </c>
      <c r="D62" s="4" t="n">
        <f aca="false">B62-C62</f>
        <v>0.000300000000000009</v>
      </c>
      <c r="H62" s="8" t="n">
        <f aca="false">G10+G9*C62</f>
        <v>-0.000375112291662898</v>
      </c>
      <c r="I62" s="8" t="n">
        <f aca="false">D62-H62</f>
        <v>0.000675112291662907</v>
      </c>
      <c r="J62" s="8" t="n">
        <f aca="false">C62+D62/(G12*G6)</f>
        <v>0.0764778424503036</v>
      </c>
      <c r="K62" s="4" t="n">
        <f aca="false">(A62-$A$2)/365</f>
        <v>0.249315068493151</v>
      </c>
      <c r="L62" s="8" t="n">
        <f aca="false">IFERROR(AVERAGE(J3:J62),"")</f>
        <v>0.0666162374422357</v>
      </c>
    </row>
    <row r="63" customFormat="false" ht="15" hidden="false" customHeight="false" outlineLevel="0" collapsed="false">
      <c r="A63" s="3" t="n">
        <v>45643</v>
      </c>
      <c r="B63" s="4" t="n">
        <f aca="false">0.0684</f>
        <v>0.0684</v>
      </c>
      <c r="C63" s="4" t="n">
        <f aca="false">B62</f>
        <v>0.0679</v>
      </c>
      <c r="D63" s="4" t="n">
        <f aca="false">B63-C63</f>
        <v>0.0005</v>
      </c>
      <c r="H63" s="8" t="n">
        <f aca="false">G10+G9*C63</f>
        <v>-0.000385249889902989</v>
      </c>
      <c r="I63" s="8" t="n">
        <f aca="false">D63-H63</f>
        <v>0.00088524988990299</v>
      </c>
      <c r="J63" s="8" t="n">
        <f aca="false">C63+D63/(G12*G6)</f>
        <v>0.082696404083839</v>
      </c>
      <c r="K63" s="4" t="n">
        <f aca="false">(A63-$A$2)/365</f>
        <v>0.252054794520548</v>
      </c>
      <c r="L63" s="8" t="n">
        <f aca="false">IFERROR(AVERAGE(J4:J63),"")</f>
        <v>0.0669254988572458</v>
      </c>
    </row>
    <row r="64" customFormat="false" ht="15" hidden="false" customHeight="false" outlineLevel="0" collapsed="false">
      <c r="A64" s="3" t="n">
        <v>45644</v>
      </c>
      <c r="B64" s="4" t="n">
        <f aca="false">0.0682</f>
        <v>0.0682</v>
      </c>
      <c r="C64" s="4" t="n">
        <f aca="false">B63</f>
        <v>0.0684</v>
      </c>
      <c r="D64" s="4" t="n">
        <f aca="false">B64-C64</f>
        <v>-0.000200000000000006</v>
      </c>
      <c r="H64" s="8" t="n">
        <f aca="false">G10+G9*C64</f>
        <v>-0.000402145886969808</v>
      </c>
      <c r="I64" s="8" t="n">
        <f aca="false">D64-H64</f>
        <v>0.000202145886969802</v>
      </c>
      <c r="J64" s="8" t="n">
        <f aca="false">C64+D64/(G12*G6)</f>
        <v>0.0624814383664643</v>
      </c>
      <c r="K64" s="4" t="n">
        <f aca="false">(A64-$A$2)/365</f>
        <v>0.254794520547945</v>
      </c>
      <c r="L64" s="8" t="n">
        <f aca="false">IFERROR(AVERAGE(J5:J64),"")</f>
        <v>0.0666529041089024</v>
      </c>
    </row>
    <row r="65" customFormat="false" ht="15" hidden="false" customHeight="false" outlineLevel="0" collapsed="false">
      <c r="A65" s="3" t="n">
        <v>45645</v>
      </c>
      <c r="B65" s="4" t="n">
        <f aca="false">0.0684</f>
        <v>0.0684</v>
      </c>
      <c r="C65" s="4" t="n">
        <f aca="false">B64</f>
        <v>0.0682</v>
      </c>
      <c r="D65" s="4" t="n">
        <f aca="false">B65-C65</f>
        <v>0.000200000000000006</v>
      </c>
      <c r="H65" s="8" t="n">
        <f aca="false">G10+G9*C65</f>
        <v>-0.00039538748814308</v>
      </c>
      <c r="I65" s="8" t="n">
        <f aca="false">D65-H65</f>
        <v>0.000595387488143086</v>
      </c>
      <c r="J65" s="8" t="n">
        <f aca="false">C65+D65/(G12*G6)</f>
        <v>0.0741185616335358</v>
      </c>
      <c r="K65" s="4" t="n">
        <f aca="false">(A65-$A$2)/365</f>
        <v>0.257534246575342</v>
      </c>
      <c r="L65" s="8" t="n">
        <f aca="false">IFERROR(AVERAGE(J6:J65),"")</f>
        <v>0.0667155587891818</v>
      </c>
    </row>
    <row r="66" customFormat="false" ht="15" hidden="false" customHeight="false" outlineLevel="0" collapsed="false">
      <c r="A66" s="3" t="n">
        <v>45646</v>
      </c>
      <c r="B66" s="4" t="n">
        <f aca="false">0.0689</f>
        <v>0.0689</v>
      </c>
      <c r="C66" s="4" t="n">
        <f aca="false">B65</f>
        <v>0.0684</v>
      </c>
      <c r="D66" s="4" t="n">
        <f aca="false">B66-C66</f>
        <v>0.0005</v>
      </c>
      <c r="H66" s="8" t="n">
        <f aca="false">G10+G9*C66</f>
        <v>-0.000402145886969808</v>
      </c>
      <c r="I66" s="8" t="n">
        <f aca="false">D66-H66</f>
        <v>0.000902145886969808</v>
      </c>
      <c r="J66" s="8" t="n">
        <f aca="false">C66+D66/(G12*G6)</f>
        <v>0.083196404083839</v>
      </c>
      <c r="K66" s="4" t="n">
        <f aca="false">(A66-$A$2)/365</f>
        <v>0.26027397260274</v>
      </c>
      <c r="L66" s="8" t="n">
        <f aca="false">IFERROR(AVERAGE(J7:J66),"")</f>
        <v>0.0667305587891818</v>
      </c>
    </row>
    <row r="67" customFormat="false" ht="15" hidden="false" customHeight="false" outlineLevel="0" collapsed="false">
      <c r="A67" s="3" t="n">
        <v>45649</v>
      </c>
      <c r="B67" s="4" t="n">
        <f aca="false">0.0684</f>
        <v>0.0684</v>
      </c>
      <c r="C67" s="4" t="n">
        <f aca="false">B66</f>
        <v>0.0689</v>
      </c>
      <c r="D67" s="4" t="n">
        <f aca="false">B67-C67</f>
        <v>-0.0005</v>
      </c>
      <c r="H67" s="8" t="n">
        <f aca="false">G10+G9*C67</f>
        <v>-0.000419041884036626</v>
      </c>
      <c r="I67" s="8" t="n">
        <f aca="false">D67-H67</f>
        <v>-8.09581159633744E-005</v>
      </c>
      <c r="J67" s="8" t="n">
        <f aca="false">C67+D67/(G12*G6)</f>
        <v>0.054103595916161</v>
      </c>
      <c r="K67" s="4" t="n">
        <f aca="false">(A67-$A$2)/365</f>
        <v>0.268493150684932</v>
      </c>
      <c r="L67" s="8" t="n">
        <f aca="false">IFERROR(AVERAGE(J8:J67),"")</f>
        <v>0.0664989520544512</v>
      </c>
    </row>
    <row r="68" customFormat="false" ht="15" hidden="false" customHeight="false" outlineLevel="0" collapsed="false">
      <c r="A68" s="3" t="n">
        <v>45650</v>
      </c>
      <c r="B68" s="4" t="n">
        <f aca="false">0.0686</f>
        <v>0.0686</v>
      </c>
      <c r="C68" s="4" t="n">
        <f aca="false">B67</f>
        <v>0.0684</v>
      </c>
      <c r="D68" s="4" t="n">
        <f aca="false">B68-C68</f>
        <v>0.000200000000000006</v>
      </c>
      <c r="H68" s="8" t="n">
        <f aca="false">G10+G9*C68</f>
        <v>-0.000402145886969808</v>
      </c>
      <c r="I68" s="8" t="n">
        <f aca="false">D68-H68</f>
        <v>0.000602145886969814</v>
      </c>
      <c r="J68" s="8" t="n">
        <f aca="false">C68+D68/(G12*G6)</f>
        <v>0.0743185616335358</v>
      </c>
      <c r="K68" s="4" t="n">
        <f aca="false">(A68-$A$2)/365</f>
        <v>0.271232876712329</v>
      </c>
      <c r="L68" s="8" t="n">
        <f aca="false">IFERROR(AVERAGE(J9:J68),"")</f>
        <v>0.0666042614150101</v>
      </c>
    </row>
    <row r="69" customFormat="false" ht="15" hidden="false" customHeight="false" outlineLevel="0" collapsed="false">
      <c r="A69" s="3" t="n">
        <v>45652</v>
      </c>
      <c r="B69" s="4" t="n">
        <f aca="false">0.0675</f>
        <v>0.0675</v>
      </c>
      <c r="C69" s="4" t="n">
        <f aca="false">B68</f>
        <v>0.0686</v>
      </c>
      <c r="D69" s="4" t="n">
        <f aca="false">B69-C69</f>
        <v>-0.0011</v>
      </c>
      <c r="H69" s="8" t="n">
        <f aca="false">G10+G9*C69</f>
        <v>-0.000408904285796535</v>
      </c>
      <c r="I69" s="8" t="n">
        <f aca="false">D69-H69</f>
        <v>-0.000691095714203469</v>
      </c>
      <c r="J69" s="8" t="n">
        <f aca="false">C69+D69/(G12*G6)</f>
        <v>0.0360479110155542</v>
      </c>
      <c r="K69" s="4" t="n">
        <f aca="false">(A69-$A$2)/365</f>
        <v>0.276712328767123</v>
      </c>
      <c r="L69" s="8" t="n">
        <f aca="false">IFERROR(AVERAGE(J10:J69),"")</f>
        <v>0.0668115468027946</v>
      </c>
    </row>
    <row r="70" customFormat="false" ht="15" hidden="false" customHeight="false" outlineLevel="0" collapsed="false">
      <c r="A70" s="3" t="n">
        <v>45653</v>
      </c>
      <c r="B70" s="4" t="n">
        <f aca="false">0.069</f>
        <v>0.069</v>
      </c>
      <c r="C70" s="4" t="n">
        <f aca="false">B69</f>
        <v>0.0675</v>
      </c>
      <c r="D70" s="4" t="n">
        <f aca="false">B70-C70</f>
        <v>0.0015</v>
      </c>
      <c r="H70" s="8" t="n">
        <f aca="false">G10+G9*C70</f>
        <v>-0.000371733092249535</v>
      </c>
      <c r="I70" s="8" t="n">
        <f aca="false">D70-H70</f>
        <v>0.00187173309224954</v>
      </c>
      <c r="J70" s="8" t="n">
        <f aca="false">C70+D70/(G12*G6)</f>
        <v>0.111889212251517</v>
      </c>
      <c r="K70" s="4" t="n">
        <f aca="false">(A70-$A$2)/365</f>
        <v>0.279452054794521</v>
      </c>
      <c r="L70" s="8" t="n">
        <f aca="false">IFERROR(AVERAGE(J11:J70),"")</f>
        <v>0.0678146404083839</v>
      </c>
    </row>
    <row r="71" customFormat="false" ht="15" hidden="false" customHeight="false" outlineLevel="0" collapsed="false">
      <c r="A71" s="3" t="n">
        <v>45656</v>
      </c>
      <c r="B71" s="4" t="n">
        <f aca="false">0.069</f>
        <v>0.069</v>
      </c>
      <c r="C71" s="4" t="n">
        <f aca="false">B70</f>
        <v>0.069</v>
      </c>
      <c r="D71" s="4" t="n">
        <f aca="false">B71-C71</f>
        <v>0</v>
      </c>
      <c r="H71" s="8" t="n">
        <f aca="false">G10+G9*C71</f>
        <v>-0.000422421083449989</v>
      </c>
      <c r="I71" s="8" t="n">
        <f aca="false">D71-H71</f>
        <v>0.000422421083449989</v>
      </c>
      <c r="J71" s="8" t="n">
        <f aca="false">C71+D71/(G12*G6)</f>
        <v>0.069</v>
      </c>
      <c r="K71" s="4" t="n">
        <f aca="false">(A71-$A$2)/365</f>
        <v>0.287671232876712</v>
      </c>
      <c r="L71" s="8" t="n">
        <f aca="false">IFERROR(AVERAGE(J12:J71),"")</f>
        <v>0.0670754988572458</v>
      </c>
    </row>
    <row r="72" customFormat="false" ht="15" hidden="false" customHeight="false" outlineLevel="0" collapsed="false">
      <c r="A72" s="3" t="n">
        <v>45657</v>
      </c>
      <c r="B72" s="4" t="n">
        <f aca="false">0.0715</f>
        <v>0.0715</v>
      </c>
      <c r="C72" s="4" t="n">
        <f aca="false">B71</f>
        <v>0.069</v>
      </c>
      <c r="D72" s="4" t="n">
        <f aca="false">B72-C72</f>
        <v>0.0025</v>
      </c>
      <c r="H72" s="8" t="n">
        <f aca="false">G10+G9*C72</f>
        <v>-0.000422421083449989</v>
      </c>
      <c r="I72" s="8" t="n">
        <f aca="false">D72-H72</f>
        <v>0.00292242108344999</v>
      </c>
      <c r="J72" s="8" t="n">
        <f aca="false">C72+D72/(G12*G6)</f>
        <v>0.142982020419195</v>
      </c>
      <c r="K72" s="4" t="n">
        <f aca="false">(A72-$A$2)/365</f>
        <v>0.29041095890411</v>
      </c>
      <c r="L72" s="8" t="n">
        <f aca="false">IFERROR(AVERAGE(J13:J72),"")</f>
        <v>0.0693676141501011</v>
      </c>
    </row>
    <row r="73" customFormat="false" ht="15" hidden="false" customHeight="false" outlineLevel="0" collapsed="false">
      <c r="A73" s="3" t="n">
        <v>45658</v>
      </c>
      <c r="B73" s="4" t="n">
        <f aca="false">0.066</f>
        <v>0.066</v>
      </c>
      <c r="C73" s="4" t="n">
        <f aca="false">B72</f>
        <v>0.0715</v>
      </c>
      <c r="D73" s="4" t="n">
        <f aca="false">B73-C73</f>
        <v>-0.00550000000000001</v>
      </c>
      <c r="H73" s="8" t="n">
        <f aca="false">G10+G9*C73</f>
        <v>-0.000506901068784081</v>
      </c>
      <c r="I73" s="8" t="n">
        <f aca="false">D73-H73</f>
        <v>-0.00499309893121592</v>
      </c>
      <c r="J73" s="8" t="n">
        <f aca="false">C73+D73/(G12*G6)</f>
        <v>-0.0912604449222287</v>
      </c>
      <c r="K73" s="4" t="n">
        <f aca="false">(A73-$A$2)/365</f>
        <v>0.293150684931507</v>
      </c>
      <c r="L73" s="8" t="n">
        <f aca="false">IFERROR(AVERAGE(J14:J73),"")</f>
        <v>0.0668042614150101</v>
      </c>
    </row>
    <row r="74" customFormat="false" ht="15" hidden="false" customHeight="false" outlineLevel="0" collapsed="false">
      <c r="A74" s="3" t="n">
        <v>45659</v>
      </c>
      <c r="B74" s="4" t="n">
        <f aca="false">0.0656</f>
        <v>0.0656</v>
      </c>
      <c r="C74" s="4" t="n">
        <f aca="false">B73</f>
        <v>0.066</v>
      </c>
      <c r="D74" s="4" t="n">
        <f aca="false">B74-C74</f>
        <v>-0.000400000000000011</v>
      </c>
      <c r="H74" s="8" t="n">
        <f aca="false">G10+G9*C74</f>
        <v>-0.00032104510104908</v>
      </c>
      <c r="I74" s="8" t="n">
        <f aca="false">D74-H74</f>
        <v>-7.89548989509313E-005</v>
      </c>
      <c r="J74" s="8" t="n">
        <f aca="false">C74+D74/(G12*G6)</f>
        <v>0.0541628767329285</v>
      </c>
      <c r="K74" s="4" t="n">
        <f aca="false">(A74-$A$2)/365</f>
        <v>0.295890410958904</v>
      </c>
      <c r="L74" s="8" t="n">
        <f aca="false">IFERROR(AVERAGE(J15:J74),"")</f>
        <v>0.0668142614150101</v>
      </c>
    </row>
    <row r="75" customFormat="false" ht="15" hidden="false" customHeight="false" outlineLevel="0" collapsed="false">
      <c r="A75" s="3" t="n">
        <v>45660</v>
      </c>
      <c r="B75" s="4" t="n">
        <f aca="false">0.0656</f>
        <v>0.0656</v>
      </c>
      <c r="C75" s="4" t="n">
        <f aca="false">B74</f>
        <v>0.0656</v>
      </c>
      <c r="D75" s="4" t="n">
        <f aca="false">B75-C75</f>
        <v>0</v>
      </c>
      <c r="H75" s="8" t="n">
        <f aca="false">G10+G9*C75</f>
        <v>-0.000307528303395625</v>
      </c>
      <c r="I75" s="8" t="n">
        <f aca="false">D75-H75</f>
        <v>0.000307528303395625</v>
      </c>
      <c r="J75" s="8" t="n">
        <f aca="false">C75+D75/(G12*G6)</f>
        <v>0.0656</v>
      </c>
      <c r="K75" s="4" t="n">
        <f aca="false">(A75-$A$2)/365</f>
        <v>0.298630136986301</v>
      </c>
      <c r="L75" s="8" t="n">
        <f aca="false">IFERROR(AVERAGE(J16:J75),"")</f>
        <v>0.0668242614150101</v>
      </c>
    </row>
    <row r="76" customFormat="false" ht="15" hidden="false" customHeight="false" outlineLevel="0" collapsed="false">
      <c r="A76" s="3" t="n">
        <v>45663</v>
      </c>
      <c r="B76" s="4" t="n">
        <f aca="false">0.0675</f>
        <v>0.0675</v>
      </c>
      <c r="C76" s="4" t="n">
        <f aca="false">B75</f>
        <v>0.0656</v>
      </c>
      <c r="D76" s="4" t="n">
        <f aca="false">B76-C76</f>
        <v>0.00190000000000001</v>
      </c>
      <c r="H76" s="8" t="n">
        <f aca="false">G10+G9*C76</f>
        <v>-0.000307528303395625</v>
      </c>
      <c r="I76" s="8" t="n">
        <f aca="false">D76-H76</f>
        <v>0.00220752830339564</v>
      </c>
      <c r="J76" s="8" t="n">
        <f aca="false">C76+D76/(G12*G6)</f>
        <v>0.121826335518588</v>
      </c>
      <c r="K76" s="4" t="n">
        <f aca="false">(A76-$A$2)/365</f>
        <v>0.306849315068493</v>
      </c>
      <c r="L76" s="8" t="n">
        <f aca="false">IFERROR(AVERAGE(J17:J76),"")</f>
        <v>0.0677713670069866</v>
      </c>
    </row>
    <row r="77" customFormat="false" ht="15" hidden="false" customHeight="false" outlineLevel="0" collapsed="false">
      <c r="A77" s="3" t="n">
        <v>45664</v>
      </c>
      <c r="B77" s="4" t="n">
        <f aca="false">0.069</f>
        <v>0.069</v>
      </c>
      <c r="C77" s="4" t="n">
        <f aca="false">B76</f>
        <v>0.0675</v>
      </c>
      <c r="D77" s="4" t="n">
        <f aca="false">B77-C77</f>
        <v>0.0015</v>
      </c>
      <c r="H77" s="8" t="n">
        <f aca="false">G10+G9*C77</f>
        <v>-0.000371733092249535</v>
      </c>
      <c r="I77" s="8" t="n">
        <f aca="false">D77-H77</f>
        <v>0.00187173309224954</v>
      </c>
      <c r="J77" s="8" t="n">
        <f aca="false">C77+D77/(G12*G6)</f>
        <v>0.111889212251517</v>
      </c>
      <c r="K77" s="4" t="n">
        <f aca="false">(A77-$A$2)/365</f>
        <v>0.30958904109589</v>
      </c>
      <c r="L77" s="8" t="n">
        <f aca="false">IFERROR(AVERAGE(J18:J77),"")</f>
        <v>0.0685528538778452</v>
      </c>
    </row>
    <row r="78" customFormat="false" ht="15" hidden="false" customHeight="false" outlineLevel="0" collapsed="false">
      <c r="A78" s="3" t="n">
        <v>45665</v>
      </c>
      <c r="B78" s="4" t="n">
        <f aca="false">0.0688</f>
        <v>0.0688</v>
      </c>
      <c r="C78" s="4" t="n">
        <f aca="false">B77</f>
        <v>0.069</v>
      </c>
      <c r="D78" s="4" t="n">
        <f aca="false">B78-C78</f>
        <v>-0.000200000000000006</v>
      </c>
      <c r="H78" s="8" t="n">
        <f aca="false">G10+G9*C78</f>
        <v>-0.000422421083449989</v>
      </c>
      <c r="I78" s="8" t="n">
        <f aca="false">D78-H78</f>
        <v>0.000222421083449984</v>
      </c>
      <c r="J78" s="8" t="n">
        <f aca="false">C78+D78/(G12*G6)</f>
        <v>0.0630814383664643</v>
      </c>
      <c r="K78" s="4" t="n">
        <f aca="false">(A78-$A$2)/365</f>
        <v>0.312328767123288</v>
      </c>
      <c r="L78" s="8" t="n">
        <f aca="false">IFERROR(AVERAGE(J19:J78),"")</f>
        <v>0.0685208778506196</v>
      </c>
    </row>
    <row r="79" customFormat="false" ht="15" hidden="false" customHeight="false" outlineLevel="0" collapsed="false">
      <c r="A79" s="3" t="n">
        <v>45666</v>
      </c>
      <c r="B79" s="4" t="n">
        <f aca="false">0.0699</f>
        <v>0.0699</v>
      </c>
      <c r="C79" s="4" t="n">
        <f aca="false">B78</f>
        <v>0.0688</v>
      </c>
      <c r="D79" s="4" t="n">
        <f aca="false">B79-C79</f>
        <v>0.0011</v>
      </c>
      <c r="H79" s="8" t="n">
        <f aca="false">G10+G9*C79</f>
        <v>-0.000415662684623262</v>
      </c>
      <c r="I79" s="8" t="n">
        <f aca="false">D79-H79</f>
        <v>0.00151566268462327</v>
      </c>
      <c r="J79" s="8" t="n">
        <f aca="false">C79+D79/(G12*G6)</f>
        <v>0.101352088984446</v>
      </c>
      <c r="K79" s="4" t="n">
        <f aca="false">(A79-$A$2)/365</f>
        <v>0.315068493150685</v>
      </c>
      <c r="L79" s="8" t="n">
        <f aca="false">IFERROR(AVERAGE(J20:J79),"")</f>
        <v>0.0691267460003604</v>
      </c>
    </row>
    <row r="80" customFormat="false" ht="15" hidden="false" customHeight="false" outlineLevel="0" collapsed="false">
      <c r="A80" s="3" t="n">
        <v>45667</v>
      </c>
      <c r="B80" s="4" t="n">
        <f aca="false">0.0708</f>
        <v>0.0708</v>
      </c>
      <c r="C80" s="4" t="n">
        <f aca="false">B79</f>
        <v>0.0699</v>
      </c>
      <c r="D80" s="4" t="n">
        <f aca="false">B80-C80</f>
        <v>0.000899999999999998</v>
      </c>
      <c r="H80" s="8" t="n">
        <f aca="false">G10+G9*C80</f>
        <v>-0.000452833878170262</v>
      </c>
      <c r="I80" s="8" t="n">
        <f aca="false">D80-H80</f>
        <v>0.00135283387817026</v>
      </c>
      <c r="J80" s="8" t="n">
        <f aca="false">C80+D80/(G12*G6)</f>
        <v>0.0965335273509101</v>
      </c>
      <c r="K80" s="4" t="n">
        <f aca="false">(A80-$A$2)/365</f>
        <v>0.317808219178082</v>
      </c>
      <c r="L80" s="8" t="n">
        <f aca="false">IFERROR(AVERAGE(J21:J80),"")</f>
        <v>0.0696523047895422</v>
      </c>
    </row>
    <row r="81" customFormat="false" ht="15" hidden="false" customHeight="false" outlineLevel="0" collapsed="false">
      <c r="A81" s="3" t="n">
        <v>45670</v>
      </c>
      <c r="B81" s="4" t="n">
        <f aca="false">0.07</f>
        <v>0.07</v>
      </c>
      <c r="C81" s="4" t="n">
        <f aca="false">B80</f>
        <v>0.0708</v>
      </c>
      <c r="D81" s="4" t="n">
        <f aca="false">B81-C81</f>
        <v>-0.000799999999999995</v>
      </c>
      <c r="H81" s="8" t="n">
        <f aca="false">G10+G9*C81</f>
        <v>-0.000483246672890535</v>
      </c>
      <c r="I81" s="8" t="n">
        <f aca="false">D81-H81</f>
        <v>-0.00031675332710946</v>
      </c>
      <c r="J81" s="8" t="n">
        <f aca="false">C81+D81/(G12*G6)</f>
        <v>0.0471257534658578</v>
      </c>
      <c r="K81" s="4" t="n">
        <f aca="false">(A81-$A$2)/365</f>
        <v>0.326027397260274</v>
      </c>
      <c r="L81" s="8" t="n">
        <f aca="false">IFERROR(AVERAGE(J22:J81),"")</f>
        <v>0.0693544006806398</v>
      </c>
    </row>
    <row r="82" customFormat="false" ht="15" hidden="false" customHeight="false" outlineLevel="0" collapsed="false">
      <c r="A82" s="3" t="n">
        <v>45671</v>
      </c>
      <c r="B82" s="4" t="n">
        <f aca="false">0.066</f>
        <v>0.066</v>
      </c>
      <c r="C82" s="4" t="n">
        <f aca="false">B81</f>
        <v>0.07</v>
      </c>
      <c r="D82" s="4" t="n">
        <f aca="false">B82-C82</f>
        <v>-0.004</v>
      </c>
      <c r="H82" s="8" t="n">
        <f aca="false">G10+G9*C82</f>
        <v>-0.000456213077583626</v>
      </c>
      <c r="I82" s="8" t="n">
        <f aca="false">D82-H82</f>
        <v>-0.00354378692241638</v>
      </c>
      <c r="J82" s="8" t="n">
        <f aca="false">C82+D82/(G12*G6)</f>
        <v>-0.0483712326707118</v>
      </c>
      <c r="K82" s="4" t="n">
        <f aca="false">(A82-$A$2)/365</f>
        <v>0.328767123287671</v>
      </c>
      <c r="L82" s="8" t="n">
        <f aca="false">IFERROR(AVERAGE(J23:J82),"")</f>
        <v>0.067464880136128</v>
      </c>
    </row>
    <row r="83" customFormat="false" ht="15" hidden="false" customHeight="false" outlineLevel="0" collapsed="false">
      <c r="A83" s="3" t="n">
        <v>45672</v>
      </c>
      <c r="B83" s="4" t="n">
        <f aca="false">0.065</f>
        <v>0.065</v>
      </c>
      <c r="C83" s="4" t="n">
        <f aca="false">B82</f>
        <v>0.066</v>
      </c>
      <c r="D83" s="4" t="n">
        <f aca="false">B83-C83</f>
        <v>-0.001</v>
      </c>
      <c r="H83" s="8" t="n">
        <f aca="false">G10+G9*C83</f>
        <v>-0.00032104510104908</v>
      </c>
      <c r="I83" s="8" t="n">
        <f aca="false">D83-H83</f>
        <v>-0.000678954898950921</v>
      </c>
      <c r="J83" s="8" t="n">
        <f aca="false">C83+D83/(G12*G6)</f>
        <v>0.0364071918323221</v>
      </c>
      <c r="K83" s="4" t="n">
        <f aca="false">(A83-$A$2)/365</f>
        <v>0.331506849315069</v>
      </c>
      <c r="L83" s="8" t="n">
        <f aca="false">IFERROR(AVERAGE(J24:J83),"")</f>
        <v>0.0669883333333333</v>
      </c>
    </row>
    <row r="84" customFormat="false" ht="15" hidden="false" customHeight="false" outlineLevel="0" collapsed="false">
      <c r="A84" s="3" t="n">
        <v>45673</v>
      </c>
      <c r="B84" s="4" t="n">
        <f aca="false">0.0663</f>
        <v>0.0663</v>
      </c>
      <c r="C84" s="4" t="n">
        <f aca="false">B83</f>
        <v>0.065</v>
      </c>
      <c r="D84" s="4" t="n">
        <f aca="false">B84-C84</f>
        <v>0.0013</v>
      </c>
      <c r="H84" s="8" t="n">
        <f aca="false">G10+G9*C84</f>
        <v>-0.000287253106915444</v>
      </c>
      <c r="I84" s="8" t="n">
        <f aca="false">D84-H84</f>
        <v>0.00158725310691544</v>
      </c>
      <c r="J84" s="8" t="n">
        <f aca="false">C84+D84/(G12*G6)</f>
        <v>0.103470650617981</v>
      </c>
      <c r="K84" s="4" t="n">
        <f aca="false">(A84-$A$2)/365</f>
        <v>0.334246575342466</v>
      </c>
      <c r="L84" s="8" t="n">
        <f aca="false">IFERROR(AVERAGE(J25:J84),"")</f>
        <v>0.067629510843633</v>
      </c>
    </row>
    <row r="85" customFormat="false" ht="15" hidden="false" customHeight="false" outlineLevel="0" collapsed="false">
      <c r="A85" s="3" t="n">
        <v>45674</v>
      </c>
      <c r="B85" s="4" t="n">
        <f aca="false">0.0664</f>
        <v>0.0664</v>
      </c>
      <c r="C85" s="4" t="n">
        <f aca="false">B84</f>
        <v>0.0663</v>
      </c>
      <c r="D85" s="4" t="n">
        <f aca="false">B85-C85</f>
        <v>0.000100000000000003</v>
      </c>
      <c r="H85" s="8" t="n">
        <f aca="false">G10+G9*C85</f>
        <v>-0.000331182699289171</v>
      </c>
      <c r="I85" s="8" t="n">
        <f aca="false">D85-H85</f>
        <v>0.000431182699289174</v>
      </c>
      <c r="J85" s="8" t="n">
        <f aca="false">C85+D85/(G12*G6)</f>
        <v>0.0692592808167679</v>
      </c>
      <c r="K85" s="4" t="n">
        <f aca="false">(A85-$A$2)/365</f>
        <v>0.336986301369863</v>
      </c>
      <c r="L85" s="8" t="n">
        <f aca="false">IFERROR(AVERAGE(J26:J85),"")</f>
        <v>0.0677004988572458</v>
      </c>
    </row>
    <row r="86" customFormat="false" ht="15" hidden="false" customHeight="false" outlineLevel="0" collapsed="false">
      <c r="A86" s="3" t="n">
        <v>45677</v>
      </c>
      <c r="B86" s="4" t="n">
        <f aca="false">0.0675</f>
        <v>0.0675</v>
      </c>
      <c r="C86" s="4" t="n">
        <f aca="false">B85</f>
        <v>0.0664</v>
      </c>
      <c r="D86" s="4" t="n">
        <f aca="false">B86-C86</f>
        <v>0.0011</v>
      </c>
      <c r="H86" s="8" t="n">
        <f aca="false">G10+G9*C86</f>
        <v>-0.000334561898702535</v>
      </c>
      <c r="I86" s="8" t="n">
        <f aca="false">D86-H86</f>
        <v>0.00143456189870254</v>
      </c>
      <c r="J86" s="8" t="n">
        <f aca="false">C86+D86/(G12*G6)</f>
        <v>0.0989520889844458</v>
      </c>
      <c r="K86" s="4" t="n">
        <f aca="false">(A86-$A$2)/365</f>
        <v>0.345205479452055</v>
      </c>
      <c r="L86" s="8" t="n">
        <f aca="false">IFERROR(AVERAGE(J27:J86),"")</f>
        <v>0.0671319760272256</v>
      </c>
    </row>
    <row r="87" customFormat="false" ht="15" hidden="false" customHeight="false" outlineLevel="0" collapsed="false">
      <c r="A87" s="3" t="n">
        <v>45678</v>
      </c>
      <c r="B87" s="4" t="n">
        <f aca="false">0.0661</f>
        <v>0.0661</v>
      </c>
      <c r="C87" s="4" t="n">
        <f aca="false">B86</f>
        <v>0.0675</v>
      </c>
      <c r="D87" s="4" t="n">
        <f aca="false">B87-C87</f>
        <v>-0.0014</v>
      </c>
      <c r="H87" s="8" t="n">
        <f aca="false">G10+G9*C87</f>
        <v>-0.000371733092249535</v>
      </c>
      <c r="I87" s="8" t="n">
        <f aca="false">D87-H87</f>
        <v>-0.00102826690775046</v>
      </c>
      <c r="J87" s="8" t="n">
        <f aca="false">C87+D87/(G12*G6)</f>
        <v>0.026070068565251</v>
      </c>
      <c r="K87" s="4" t="n">
        <f aca="false">(A87-$A$2)/365</f>
        <v>0.347945205479452</v>
      </c>
      <c r="L87" s="8" t="n">
        <f aca="false">IFERROR(AVERAGE(J28:J87),"")</f>
        <v>0.0661982037685825</v>
      </c>
    </row>
    <row r="88" customFormat="false" ht="15" hidden="false" customHeight="false" outlineLevel="0" collapsed="false">
      <c r="A88" s="3" t="n">
        <v>45679</v>
      </c>
      <c r="B88" s="4" t="n">
        <f aca="false">0.0662</f>
        <v>0.0662</v>
      </c>
      <c r="C88" s="4" t="n">
        <f aca="false">B87</f>
        <v>0.0661</v>
      </c>
      <c r="D88" s="4" t="n">
        <f aca="false">B88-C88</f>
        <v>9.9999999999989E-005</v>
      </c>
      <c r="H88" s="8" t="n">
        <f aca="false">G10+G9*C88</f>
        <v>-0.000324424300462444</v>
      </c>
      <c r="I88" s="8" t="n">
        <f aca="false">D88-H88</f>
        <v>0.000424424300462433</v>
      </c>
      <c r="J88" s="8" t="n">
        <f aca="false">C88+D88/(G12*G6)</f>
        <v>0.0690592808167675</v>
      </c>
      <c r="K88" s="4" t="n">
        <f aca="false">(A88-$A$2)/365</f>
        <v>0.350684931506849</v>
      </c>
      <c r="L88" s="8" t="n">
        <f aca="false">IFERROR(AVERAGE(J29:J88),"")</f>
        <v>0.0663671558230336</v>
      </c>
    </row>
    <row r="89" customFormat="false" ht="15" hidden="false" customHeight="false" outlineLevel="0" collapsed="false">
      <c r="A89" s="3" t="n">
        <v>45680</v>
      </c>
      <c r="B89" s="4" t="n">
        <f aca="false">0.0665</f>
        <v>0.0665</v>
      </c>
      <c r="C89" s="4" t="n">
        <f aca="false">B88</f>
        <v>0.0662</v>
      </c>
      <c r="D89" s="4" t="n">
        <f aca="false">B89-C89</f>
        <v>0.000300000000000009</v>
      </c>
      <c r="H89" s="8" t="n">
        <f aca="false">G10+G9*C89</f>
        <v>-0.000327803499875807</v>
      </c>
      <c r="I89" s="8" t="n">
        <f aca="false">D89-H89</f>
        <v>0.000627803499875816</v>
      </c>
      <c r="J89" s="8" t="n">
        <f aca="false">C89+D89/(G12*G6)</f>
        <v>0.0750778424503036</v>
      </c>
      <c r="K89" s="4" t="n">
        <f aca="false">(A89-$A$2)/365</f>
        <v>0.353424657534247</v>
      </c>
      <c r="L89" s="8" t="n">
        <f aca="false">IFERROR(AVERAGE(J30:J89),"")</f>
        <v>0.066740059931936</v>
      </c>
    </row>
    <row r="90" customFormat="false" ht="15" hidden="false" customHeight="false" outlineLevel="0" collapsed="false">
      <c r="A90" s="3" t="n">
        <v>45681</v>
      </c>
      <c r="B90" s="4" t="n">
        <f aca="false">0.0665</f>
        <v>0.0665</v>
      </c>
      <c r="C90" s="4" t="n">
        <f aca="false">B89</f>
        <v>0.0665</v>
      </c>
      <c r="D90" s="4" t="n">
        <f aca="false">B90-C90</f>
        <v>0</v>
      </c>
      <c r="H90" s="8" t="n">
        <f aca="false">G10+G9*C90</f>
        <v>-0.000337941098115898</v>
      </c>
      <c r="I90" s="8" t="n">
        <f aca="false">D90-H90</f>
        <v>0.000337941098115898</v>
      </c>
      <c r="J90" s="8" t="n">
        <f aca="false">C90+D90/(G12*G6)</f>
        <v>0.0665</v>
      </c>
      <c r="K90" s="4" t="n">
        <f aca="false">(A90-$A$2)/365</f>
        <v>0.356164383561644</v>
      </c>
      <c r="L90" s="8" t="n">
        <f aca="false">IFERROR(AVERAGE(J31:J90),"")</f>
        <v>0.066485119863872</v>
      </c>
    </row>
    <row r="91" customFormat="false" ht="15" hidden="false" customHeight="false" outlineLevel="0" collapsed="false">
      <c r="A91" s="3" t="n">
        <v>45684</v>
      </c>
      <c r="B91" s="4" t="n">
        <f aca="false">0.0665</f>
        <v>0.0665</v>
      </c>
      <c r="C91" s="4" t="n">
        <f aca="false">B90</f>
        <v>0.0665</v>
      </c>
      <c r="D91" s="4" t="n">
        <f aca="false">B91-C91</f>
        <v>0</v>
      </c>
      <c r="H91" s="8" t="n">
        <f aca="false">G10+G9*C91</f>
        <v>-0.000337941098115898</v>
      </c>
      <c r="I91" s="8" t="n">
        <f aca="false">D91-H91</f>
        <v>0.000337941098115898</v>
      </c>
      <c r="J91" s="8" t="n">
        <f aca="false">C91+D91/(G12*G6)</f>
        <v>0.0665</v>
      </c>
      <c r="K91" s="4" t="n">
        <f aca="false">(A91-$A$2)/365</f>
        <v>0.364383561643836</v>
      </c>
      <c r="L91" s="8" t="n">
        <f aca="false">IFERROR(AVERAGE(J32:J91),"")</f>
        <v>0.0677014868708586</v>
      </c>
    </row>
    <row r="92" customFormat="false" ht="15" hidden="false" customHeight="false" outlineLevel="0" collapsed="false">
      <c r="A92" s="3" t="n">
        <v>45685</v>
      </c>
      <c r="B92" s="4" t="n">
        <f aca="false">0.0663</f>
        <v>0.0663</v>
      </c>
      <c r="C92" s="4" t="n">
        <f aca="false">B91</f>
        <v>0.0665</v>
      </c>
      <c r="D92" s="4" t="n">
        <f aca="false">B92-C92</f>
        <v>-0.000200000000000006</v>
      </c>
      <c r="H92" s="8" t="n">
        <f aca="false">G10+G9*C92</f>
        <v>-0.000337941098115898</v>
      </c>
      <c r="I92" s="8" t="n">
        <f aca="false">D92-H92</f>
        <v>0.000137941098115893</v>
      </c>
      <c r="J92" s="8" t="n">
        <f aca="false">C92+D92/(G12*G6)</f>
        <v>0.0605814383664643</v>
      </c>
      <c r="K92" s="4" t="n">
        <f aca="false">(A92-$A$2)/365</f>
        <v>0.367123287671233</v>
      </c>
      <c r="L92" s="8" t="n">
        <f aca="false">IFERROR(AVERAGE(J33:J92),"")</f>
        <v>0.0676278441769664</v>
      </c>
    </row>
    <row r="93" customFormat="false" ht="15" hidden="false" customHeight="false" outlineLevel="0" collapsed="false">
      <c r="A93" s="3" t="n">
        <v>45686</v>
      </c>
      <c r="B93" s="4" t="n">
        <f aca="false">0.0665</f>
        <v>0.0665</v>
      </c>
      <c r="C93" s="4" t="n">
        <f aca="false">B92</f>
        <v>0.0663</v>
      </c>
      <c r="D93" s="4" t="n">
        <f aca="false">B93-C93</f>
        <v>0.000200000000000006</v>
      </c>
      <c r="H93" s="8" t="n">
        <f aca="false">G10+G9*C93</f>
        <v>-0.000331182699289171</v>
      </c>
      <c r="I93" s="8" t="n">
        <f aca="false">D93-H93</f>
        <v>0.000531182699289177</v>
      </c>
      <c r="J93" s="8" t="n">
        <f aca="false">C93+D93/(G12*G6)</f>
        <v>0.0722185616335358</v>
      </c>
      <c r="K93" s="4" t="n">
        <f aca="false">(A93-$A$2)/365</f>
        <v>0.36986301369863</v>
      </c>
      <c r="L93" s="8" t="n">
        <f aca="false">IFERROR(AVERAGE(J34:J93),"")</f>
        <v>0.0672056187211179</v>
      </c>
    </row>
    <row r="94" customFormat="false" ht="15" hidden="false" customHeight="false" outlineLevel="0" collapsed="false">
      <c r="A94" s="3" t="n">
        <v>45687</v>
      </c>
      <c r="B94" s="4" t="n">
        <f aca="false">0.0665</f>
        <v>0.0665</v>
      </c>
      <c r="C94" s="4" t="n">
        <f aca="false">B93</f>
        <v>0.0665</v>
      </c>
      <c r="D94" s="4" t="n">
        <f aca="false">B94-C94</f>
        <v>0</v>
      </c>
      <c r="H94" s="8" t="n">
        <f aca="false">G10+G9*C94</f>
        <v>-0.000337941098115898</v>
      </c>
      <c r="I94" s="8" t="n">
        <f aca="false">D94-H94</f>
        <v>0.000337941098115898</v>
      </c>
      <c r="J94" s="8" t="n">
        <f aca="false">C94+D94/(G12*G6)</f>
        <v>0.0665</v>
      </c>
      <c r="K94" s="4" t="n">
        <f aca="false">(A94-$A$2)/365</f>
        <v>0.372602739726027</v>
      </c>
      <c r="L94" s="8" t="n">
        <f aca="false">IFERROR(AVERAGE(J35:J94),"")</f>
        <v>0.067754820204192</v>
      </c>
    </row>
    <row r="95" customFormat="false" ht="15" hidden="false" customHeight="false" outlineLevel="0" collapsed="false">
      <c r="A95" s="3" t="n">
        <v>45688</v>
      </c>
      <c r="B95" s="4" t="n">
        <f aca="false">0.0665</f>
        <v>0.0665</v>
      </c>
      <c r="C95" s="4" t="n">
        <f aca="false">B94</f>
        <v>0.0665</v>
      </c>
      <c r="D95" s="4" t="n">
        <f aca="false">B95-C95</f>
        <v>0</v>
      </c>
      <c r="H95" s="8" t="n">
        <f aca="false">G10+G9*C95</f>
        <v>-0.000337941098115898</v>
      </c>
      <c r="I95" s="8" t="n">
        <f aca="false">D95-H95</f>
        <v>0.000337941098115898</v>
      </c>
      <c r="J95" s="8" t="n">
        <f aca="false">C95+D95/(G12*G6)</f>
        <v>0.0665</v>
      </c>
      <c r="K95" s="4" t="n">
        <f aca="false">(A95-$A$2)/365</f>
        <v>0.375342465753425</v>
      </c>
      <c r="L95" s="8" t="n">
        <f aca="false">IFERROR(AVERAGE(J36:J95),"")</f>
        <v>0.0682730336736532</v>
      </c>
    </row>
    <row r="96" customFormat="false" ht="15" hidden="false" customHeight="false" outlineLevel="0" collapsed="false">
      <c r="A96" s="3" t="n">
        <v>45691</v>
      </c>
      <c r="B96" s="4" t="n">
        <f aca="false">0.0665</f>
        <v>0.0665</v>
      </c>
      <c r="C96" s="4" t="n">
        <f aca="false">B95</f>
        <v>0.0665</v>
      </c>
      <c r="D96" s="4" t="n">
        <f aca="false">B96-C96</f>
        <v>0</v>
      </c>
      <c r="H96" s="8" t="n">
        <f aca="false">G10+G9*C96</f>
        <v>-0.000337941098115898</v>
      </c>
      <c r="I96" s="8" t="n">
        <f aca="false">D96-H96</f>
        <v>0.000337941098115898</v>
      </c>
      <c r="J96" s="8" t="n">
        <f aca="false">C96+D96/(G12*G6)</f>
        <v>0.0665</v>
      </c>
      <c r="K96" s="4" t="n">
        <f aca="false">(A96-$A$2)/365</f>
        <v>0.383561643835616</v>
      </c>
      <c r="L96" s="8" t="n">
        <f aca="false">IFERROR(AVERAGE(J37:J96),"")</f>
        <v>0.0683147003403199</v>
      </c>
    </row>
    <row r="97" customFormat="false" ht="15" hidden="false" customHeight="false" outlineLevel="0" collapsed="false">
      <c r="A97" s="3" t="n">
        <v>45692</v>
      </c>
      <c r="B97" s="4" t="n">
        <f aca="false">0.0661</f>
        <v>0.0661</v>
      </c>
      <c r="C97" s="4" t="n">
        <f aca="false">B96</f>
        <v>0.0665</v>
      </c>
      <c r="D97" s="4" t="n">
        <f aca="false">B97-C97</f>
        <v>-0.000399999999999998</v>
      </c>
      <c r="H97" s="8" t="n">
        <f aca="false">G10+G9*C97</f>
        <v>-0.000337941098115898</v>
      </c>
      <c r="I97" s="8" t="n">
        <f aca="false">D97-H97</f>
        <v>-6.20589018840991E-005</v>
      </c>
      <c r="J97" s="8" t="n">
        <f aca="false">C97+D97/(G12*G6)</f>
        <v>0.0546628767329289</v>
      </c>
      <c r="K97" s="4" t="n">
        <f aca="false">(A97-$A$2)/365</f>
        <v>0.386301369863014</v>
      </c>
      <c r="L97" s="8" t="n">
        <f aca="false">IFERROR(AVERAGE(J38:J97),"")</f>
        <v>0.0677151894966869</v>
      </c>
    </row>
    <row r="98" customFormat="false" ht="15" hidden="false" customHeight="false" outlineLevel="0" collapsed="false">
      <c r="A98" s="3" t="n">
        <v>45693</v>
      </c>
      <c r="B98" s="4" t="n">
        <f aca="false">0.0658</f>
        <v>0.0658</v>
      </c>
      <c r="C98" s="4" t="n">
        <f aca="false">B97</f>
        <v>0.0661</v>
      </c>
      <c r="D98" s="4" t="n">
        <f aca="false">B98-C98</f>
        <v>-0.000300000000000009</v>
      </c>
      <c r="H98" s="8" t="n">
        <f aca="false">G10+G9*C98</f>
        <v>-0.000324424300462444</v>
      </c>
      <c r="I98" s="8" t="n">
        <f aca="false">D98-H98</f>
        <v>2.44243004624354E-005</v>
      </c>
      <c r="J98" s="8" t="n">
        <f aca="false">C98+D98/(G12*G6)</f>
        <v>0.0572221575496964</v>
      </c>
      <c r="K98" s="4" t="n">
        <f aca="false">(A98-$A$2)/365</f>
        <v>0.389041095890411</v>
      </c>
      <c r="L98" s="8" t="n">
        <f aca="false">IFERROR(AVERAGE(J39:J98),"")</f>
        <v>0.0675379041089024</v>
      </c>
    </row>
    <row r="99" customFormat="false" ht="15" hidden="false" customHeight="false" outlineLevel="0" collapsed="false">
      <c r="A99" s="3" t="n">
        <v>45694</v>
      </c>
      <c r="B99" s="4" t="n">
        <f aca="false">0.0654</f>
        <v>0.0654</v>
      </c>
      <c r="C99" s="4" t="n">
        <f aca="false">B98</f>
        <v>0.0658</v>
      </c>
      <c r="D99" s="4" t="n">
        <f aca="false">B99-C99</f>
        <v>-0.000399999999999998</v>
      </c>
      <c r="H99" s="8" t="n">
        <f aca="false">G10+G9*C99</f>
        <v>-0.000314286702222353</v>
      </c>
      <c r="I99" s="8" t="n">
        <f aca="false">D99-H99</f>
        <v>-8.57132977776446E-005</v>
      </c>
      <c r="J99" s="8" t="n">
        <f aca="false">C99+D99/(G12*G6)</f>
        <v>0.0539628767329289</v>
      </c>
      <c r="K99" s="4" t="n">
        <f aca="false">(A99-$A$2)/365</f>
        <v>0.391780821917808</v>
      </c>
      <c r="L99" s="8" t="n">
        <f aca="false">IFERROR(AVERAGE(J40:J99),"")</f>
        <v>0.0673539520544512</v>
      </c>
    </row>
    <row r="100" customFormat="false" ht="15" hidden="false" customHeight="false" outlineLevel="0" collapsed="false">
      <c r="A100" s="3" t="n">
        <v>45695</v>
      </c>
      <c r="B100" s="4" t="n">
        <f aca="false">0.0635</f>
        <v>0.0635</v>
      </c>
      <c r="C100" s="4" t="n">
        <f aca="false">B99</f>
        <v>0.0654</v>
      </c>
      <c r="D100" s="4" t="n">
        <f aca="false">B100-C100</f>
        <v>-0.0019</v>
      </c>
      <c r="H100" s="8" t="n">
        <f aca="false">G10+G9*C100</f>
        <v>-0.000300769904568898</v>
      </c>
      <c r="I100" s="8" t="n">
        <f aca="false">D100-H100</f>
        <v>-0.0015992300954311</v>
      </c>
      <c r="J100" s="8" t="n">
        <f aca="false">C100+D100/(G12*G6)</f>
        <v>0.00917366448141199</v>
      </c>
      <c r="K100" s="4" t="n">
        <f aca="false">(A100-$A$2)/365</f>
        <v>0.394520547945205</v>
      </c>
      <c r="L100" s="8" t="n">
        <f aca="false">IFERROR(AVERAGE(J41:J100),"")</f>
        <v>0.0662262277413569</v>
      </c>
    </row>
    <row r="101" customFormat="false" ht="15" hidden="false" customHeight="false" outlineLevel="0" collapsed="false">
      <c r="A101" s="3" t="n">
        <v>45698</v>
      </c>
      <c r="B101" s="4" t="n">
        <f aca="false">0.064</f>
        <v>0.064</v>
      </c>
      <c r="C101" s="4" t="n">
        <f aca="false">B100</f>
        <v>0.0635</v>
      </c>
      <c r="D101" s="4" t="n">
        <f aca="false">B101-C101</f>
        <v>0.0005</v>
      </c>
      <c r="H101" s="8" t="n">
        <f aca="false">G10+G9*C101</f>
        <v>-0.000236565115714989</v>
      </c>
      <c r="I101" s="8" t="n">
        <f aca="false">D101-H101</f>
        <v>0.00073656511571499</v>
      </c>
      <c r="J101" s="8" t="n">
        <f aca="false">C101+D101/(G12*G6)</f>
        <v>0.078296404083839</v>
      </c>
      <c r="K101" s="4" t="n">
        <f aca="false">(A101-$A$2)/365</f>
        <v>0.402739726027397</v>
      </c>
      <c r="L101" s="8" t="n">
        <f aca="false">IFERROR(AVERAGE(J42:J101),"")</f>
        <v>0.0668357385849899</v>
      </c>
    </row>
    <row r="102" customFormat="false" ht="15" hidden="false" customHeight="false" outlineLevel="0" collapsed="false">
      <c r="A102" s="3" t="n">
        <v>45699</v>
      </c>
      <c r="B102" s="4" t="n">
        <f aca="false">0.064</f>
        <v>0.064</v>
      </c>
      <c r="C102" s="4" t="n">
        <f aca="false">B101</f>
        <v>0.064</v>
      </c>
      <c r="D102" s="4" t="n">
        <f aca="false">B102-C102</f>
        <v>0</v>
      </c>
      <c r="H102" s="8" t="n">
        <f aca="false">G10+G9*C102</f>
        <v>-0.000253461112781808</v>
      </c>
      <c r="I102" s="8" t="n">
        <f aca="false">D102-H102</f>
        <v>0.000253461112781808</v>
      </c>
      <c r="J102" s="8" t="n">
        <f aca="false">C102+D102/(G12*G6)</f>
        <v>0.064</v>
      </c>
      <c r="K102" s="4" t="n">
        <f aca="false">(A102-$A$2)/365</f>
        <v>0.405479452054795</v>
      </c>
      <c r="L102" s="8" t="n">
        <f aca="false">IFERROR(AVERAGE(J43:J102),"")</f>
        <v>0.0666284531972054</v>
      </c>
    </row>
    <row r="103" customFormat="false" ht="15" hidden="false" customHeight="false" outlineLevel="0" collapsed="false">
      <c r="A103" s="3" t="n">
        <v>45700</v>
      </c>
      <c r="B103" s="4" t="n">
        <f aca="false">0.064</f>
        <v>0.064</v>
      </c>
      <c r="C103" s="4" t="n">
        <f aca="false">B102</f>
        <v>0.064</v>
      </c>
      <c r="D103" s="4" t="n">
        <f aca="false">B103-C103</f>
        <v>0</v>
      </c>
      <c r="H103" s="8" t="n">
        <f aca="false">G10+G9*C103</f>
        <v>-0.000253461112781808</v>
      </c>
      <c r="I103" s="8" t="n">
        <f aca="false">D103-H103</f>
        <v>0.000253461112781808</v>
      </c>
      <c r="J103" s="8" t="n">
        <f aca="false">C103+D103/(G12*G6)</f>
        <v>0.064</v>
      </c>
      <c r="K103" s="4" t="n">
        <f aca="false">(A103-$A$2)/365</f>
        <v>0.408219178082192</v>
      </c>
      <c r="L103" s="8" t="n">
        <f aca="false">IFERROR(AVERAGE(J44:J103),"")</f>
        <v>0.0665131438366464</v>
      </c>
    </row>
    <row r="104" customFormat="false" ht="15" hidden="false" customHeight="false" outlineLevel="0" collapsed="false">
      <c r="A104" s="3" t="n">
        <v>45701</v>
      </c>
      <c r="B104" s="4" t="n">
        <f aca="false">0.064</f>
        <v>0.064</v>
      </c>
      <c r="C104" s="4" t="n">
        <f aca="false">B103</f>
        <v>0.064</v>
      </c>
      <c r="D104" s="4" t="n">
        <f aca="false">B104-C104</f>
        <v>0</v>
      </c>
      <c r="H104" s="8" t="n">
        <f aca="false">G10+G9*C104</f>
        <v>-0.000253461112781808</v>
      </c>
      <c r="I104" s="8" t="n">
        <f aca="false">D104-H104</f>
        <v>0.000253461112781808</v>
      </c>
      <c r="J104" s="8" t="n">
        <f aca="false">C104+D104/(G12*G6)</f>
        <v>0.064</v>
      </c>
      <c r="K104" s="4" t="n">
        <f aca="false">(A104-$A$2)/365</f>
        <v>0.410958904109589</v>
      </c>
      <c r="L104" s="8" t="n">
        <f aca="false">IFERROR(AVERAGE(J45:J104),"")</f>
        <v>0.0662465371019158</v>
      </c>
    </row>
    <row r="105" customFormat="false" ht="15" hidden="false" customHeight="false" outlineLevel="0" collapsed="false">
      <c r="A105" s="3" t="n">
        <v>45702</v>
      </c>
      <c r="B105" s="4" t="n">
        <f aca="false">0.0645</f>
        <v>0.0645</v>
      </c>
      <c r="C105" s="4" t="n">
        <f aca="false">B104</f>
        <v>0.064</v>
      </c>
      <c r="D105" s="4" t="n">
        <f aca="false">B105-C105</f>
        <v>0.0005</v>
      </c>
      <c r="H105" s="8" t="n">
        <f aca="false">G10+G9*C105</f>
        <v>-0.000253461112781808</v>
      </c>
      <c r="I105" s="8" t="n">
        <f aca="false">D105-H105</f>
        <v>0.000753461112781808</v>
      </c>
      <c r="J105" s="8" t="n">
        <f aca="false">C105+D105/(G12*G6)</f>
        <v>0.078796404083839</v>
      </c>
      <c r="K105" s="4" t="n">
        <f aca="false">(A105-$A$2)/365</f>
        <v>0.413698630136986</v>
      </c>
      <c r="L105" s="8" t="n">
        <f aca="false">IFERROR(AVERAGE(J46:J105),"")</f>
        <v>0.0657743116460673</v>
      </c>
    </row>
    <row r="106" customFormat="false" ht="15" hidden="false" customHeight="false" outlineLevel="0" collapsed="false">
      <c r="A106" s="3" t="n">
        <v>45705</v>
      </c>
      <c r="B106" s="4" t="n">
        <f aca="false">0.064</f>
        <v>0.064</v>
      </c>
      <c r="C106" s="4" t="n">
        <f aca="false">B105</f>
        <v>0.0645</v>
      </c>
      <c r="D106" s="4" t="n">
        <f aca="false">B106-C106</f>
        <v>-0.0005</v>
      </c>
      <c r="H106" s="8" t="n">
        <f aca="false">G10+G9*C106</f>
        <v>-0.000270357109848625</v>
      </c>
      <c r="I106" s="8" t="n">
        <f aca="false">D106-H106</f>
        <v>-0.000229642890151375</v>
      </c>
      <c r="J106" s="8" t="n">
        <f aca="false">C106+D106/(G12*G6)</f>
        <v>0.049703595916161</v>
      </c>
      <c r="K106" s="4" t="n">
        <f aca="false">(A106-$A$2)/365</f>
        <v>0.421917808219178</v>
      </c>
      <c r="L106" s="8" t="n">
        <f aca="false">IFERROR(AVERAGE(J47:J106),"")</f>
        <v>0.0648431940677036</v>
      </c>
    </row>
    <row r="107" customFormat="false" ht="15" hidden="false" customHeight="false" outlineLevel="0" collapsed="false">
      <c r="A107" s="3" t="n">
        <v>45706</v>
      </c>
      <c r="B107" s="4" t="n">
        <f aca="false">0.064</f>
        <v>0.064</v>
      </c>
      <c r="C107" s="4" t="n">
        <f aca="false">B106</f>
        <v>0.064</v>
      </c>
      <c r="D107" s="4" t="n">
        <f aca="false">B107-C107</f>
        <v>0</v>
      </c>
      <c r="H107" s="8" t="n">
        <f aca="false">G10+G9*C107</f>
        <v>-0.000253461112781808</v>
      </c>
      <c r="I107" s="8" t="n">
        <f aca="false">D107-H107</f>
        <v>0.000253461112781808</v>
      </c>
      <c r="J107" s="8" t="n">
        <f aca="false">C107+D107/(G12*G6)</f>
        <v>0.064</v>
      </c>
      <c r="K107" s="4" t="n">
        <f aca="false">(A107-$A$2)/365</f>
        <v>0.424657534246575</v>
      </c>
      <c r="L107" s="8" t="n">
        <f aca="false">IFERROR(AVERAGE(J48:J107),"")</f>
        <v>0.0647205393874242</v>
      </c>
    </row>
    <row r="108" customFormat="false" ht="15" hidden="false" customHeight="false" outlineLevel="0" collapsed="false">
      <c r="A108" s="3" t="n">
        <v>45708</v>
      </c>
      <c r="B108" s="4" t="n">
        <f aca="false">0.0642</f>
        <v>0.0642</v>
      </c>
      <c r="C108" s="4" t="n">
        <f aca="false">B107</f>
        <v>0.064</v>
      </c>
      <c r="D108" s="4" t="n">
        <f aca="false">B108-C108</f>
        <v>0.000199999999999992</v>
      </c>
      <c r="H108" s="8" t="n">
        <f aca="false">G10+G9*C108</f>
        <v>-0.000253461112781808</v>
      </c>
      <c r="I108" s="8" t="n">
        <f aca="false">D108-H108</f>
        <v>0.000453461112781799</v>
      </c>
      <c r="J108" s="8" t="n">
        <f aca="false">C108+D108/(G12*G6)</f>
        <v>0.0699185616335353</v>
      </c>
      <c r="K108" s="4" t="n">
        <f aca="false">(A108-$A$2)/365</f>
        <v>0.43013698630137</v>
      </c>
      <c r="L108" s="8" t="n">
        <f aca="false">IFERROR(AVERAGE(J49:J108),"")</f>
        <v>0.0647935034282625</v>
      </c>
    </row>
    <row r="109" customFormat="false" ht="15" hidden="false" customHeight="false" outlineLevel="0" collapsed="false">
      <c r="A109" s="3" t="n">
        <v>45709</v>
      </c>
      <c r="B109" s="4" t="n">
        <f aca="false">0.064</f>
        <v>0.064</v>
      </c>
      <c r="C109" s="4" t="n">
        <f aca="false">B108</f>
        <v>0.0642</v>
      </c>
      <c r="D109" s="4" t="n">
        <f aca="false">B109-C109</f>
        <v>-0.000199999999999992</v>
      </c>
      <c r="H109" s="8" t="n">
        <f aca="false">G10+G9*C109</f>
        <v>-0.000260219511608534</v>
      </c>
      <c r="I109" s="8" t="n">
        <f aca="false">D109-H109</f>
        <v>6.02195116085425E-005</v>
      </c>
      <c r="J109" s="8" t="n">
        <f aca="false">C109+D109/(G12*G6)</f>
        <v>0.0582814383664647</v>
      </c>
      <c r="K109" s="4" t="n">
        <f aca="false">(A109-$A$2)/365</f>
        <v>0.432876712328767</v>
      </c>
      <c r="L109" s="8" t="n">
        <f aca="false">IFERROR(AVERAGE(J50:J109),"")</f>
        <v>0.0646248607343703</v>
      </c>
    </row>
    <row r="110" customFormat="false" ht="15" hidden="false" customHeight="false" outlineLevel="0" collapsed="false">
      <c r="A110" s="3" t="n">
        <v>45712</v>
      </c>
      <c r="B110" s="4" t="n">
        <f aca="false">0.0638</f>
        <v>0.0638</v>
      </c>
      <c r="C110" s="4" t="n">
        <f aca="false">B109</f>
        <v>0.064</v>
      </c>
      <c r="D110" s="4" t="n">
        <f aca="false">B110-C110</f>
        <v>-0.000200000000000006</v>
      </c>
      <c r="H110" s="8" t="n">
        <f aca="false">G10+G9*C110</f>
        <v>-0.000253461112781808</v>
      </c>
      <c r="I110" s="8" t="n">
        <f aca="false">D110-H110</f>
        <v>5.34611127818018E-005</v>
      </c>
      <c r="J110" s="8" t="n">
        <f aca="false">C110+D110/(G12*G6)</f>
        <v>0.0580814383664643</v>
      </c>
      <c r="K110" s="4" t="n">
        <f aca="false">(A110-$A$2)/365</f>
        <v>0.441095890410959</v>
      </c>
      <c r="L110" s="8" t="n">
        <f aca="false">IFERROR(AVERAGE(J51:J110),"")</f>
        <v>0.064551527401037</v>
      </c>
    </row>
    <row r="111" customFormat="false" ht="15" hidden="false" customHeight="false" outlineLevel="0" collapsed="false">
      <c r="A111" s="3" t="n">
        <v>45713</v>
      </c>
      <c r="B111" s="4" t="n">
        <f aca="false">0.064</f>
        <v>0.064</v>
      </c>
      <c r="C111" s="4" t="n">
        <f aca="false">B110</f>
        <v>0.0638</v>
      </c>
      <c r="D111" s="4" t="n">
        <f aca="false">B111-C111</f>
        <v>0.000200000000000006</v>
      </c>
      <c r="H111" s="8" t="n">
        <f aca="false">G10+G9*C111</f>
        <v>-0.00024670271395508</v>
      </c>
      <c r="I111" s="8" t="n">
        <f aca="false">D111-H111</f>
        <v>0.000446702713955086</v>
      </c>
      <c r="J111" s="8" t="n">
        <f aca="false">C111+D111/(G12*G6)</f>
        <v>0.0697185616335358</v>
      </c>
      <c r="K111" s="4" t="n">
        <f aca="false">(A111-$A$2)/365</f>
        <v>0.443835616438356</v>
      </c>
      <c r="L111" s="8" t="n">
        <f aca="false">IFERROR(AVERAGE(J52:J111),"")</f>
        <v>0.0648727648432727</v>
      </c>
    </row>
    <row r="112" customFormat="false" ht="15" hidden="false" customHeight="false" outlineLevel="0" collapsed="false">
      <c r="A112" s="3" t="n">
        <v>45715</v>
      </c>
      <c r="B112" s="4" t="n">
        <f aca="false">0.064</f>
        <v>0.064</v>
      </c>
      <c r="C112" s="4" t="n">
        <f aca="false">B111</f>
        <v>0.064</v>
      </c>
      <c r="D112" s="4" t="n">
        <f aca="false">B112-C112</f>
        <v>0</v>
      </c>
      <c r="H112" s="8" t="n">
        <f aca="false">G10+G9*C112</f>
        <v>-0.000253461112781808</v>
      </c>
      <c r="I112" s="8" t="n">
        <f aca="false">D112-H112</f>
        <v>0.000253461112781808</v>
      </c>
      <c r="J112" s="8" t="n">
        <f aca="false">C112+D112/(G12*G6)</f>
        <v>0.064</v>
      </c>
      <c r="K112" s="4" t="n">
        <f aca="false">(A112-$A$2)/365</f>
        <v>0.449315068493151</v>
      </c>
      <c r="L112" s="8" t="n">
        <f aca="false">IFERROR(AVERAGE(J53:J112),"")</f>
        <v>0.0656019063944107</v>
      </c>
    </row>
    <row r="113" customFormat="false" ht="15" hidden="false" customHeight="false" outlineLevel="0" collapsed="false">
      <c r="A113" s="3" t="n">
        <v>45716</v>
      </c>
      <c r="B113" s="4" t="n">
        <f aca="false">0.064</f>
        <v>0.064</v>
      </c>
      <c r="C113" s="4" t="n">
        <f aca="false">B112</f>
        <v>0.064</v>
      </c>
      <c r="D113" s="4" t="n">
        <f aca="false">B113-C113</f>
        <v>0</v>
      </c>
      <c r="H113" s="8" t="n">
        <f aca="false">G10+G9*C113</f>
        <v>-0.000253461112781808</v>
      </c>
      <c r="I113" s="8" t="n">
        <f aca="false">D113-H113</f>
        <v>0.000253461112781808</v>
      </c>
      <c r="J113" s="8" t="n">
        <f aca="false">C113+D113/(G12*G6)</f>
        <v>0.064</v>
      </c>
      <c r="K113" s="4" t="n">
        <f aca="false">(A113-$A$2)/365</f>
        <v>0.452054794520548</v>
      </c>
      <c r="L113" s="8" t="n">
        <f aca="false">IFERROR(AVERAGE(J54:J113),"")</f>
        <v>0.0660617865305387</v>
      </c>
    </row>
    <row r="114" customFormat="false" ht="15" hidden="false" customHeight="false" outlineLevel="0" collapsed="false">
      <c r="A114" s="3" t="n">
        <v>45719</v>
      </c>
      <c r="B114" s="4" t="n">
        <f aca="false">0.064</f>
        <v>0.064</v>
      </c>
      <c r="C114" s="4" t="n">
        <f aca="false">B113</f>
        <v>0.064</v>
      </c>
      <c r="D114" s="4" t="n">
        <f aca="false">B114-C114</f>
        <v>0</v>
      </c>
      <c r="H114" s="8" t="n">
        <f aca="false">G10+G9*C114</f>
        <v>-0.000253461112781808</v>
      </c>
      <c r="I114" s="8" t="n">
        <f aca="false">D114-H114</f>
        <v>0.000253461112781808</v>
      </c>
      <c r="J114" s="8" t="n">
        <f aca="false">C114+D114/(G12*G6)</f>
        <v>0.064</v>
      </c>
      <c r="K114" s="4" t="n">
        <f aca="false">(A114-$A$2)/365</f>
        <v>0.46027397260274</v>
      </c>
      <c r="L114" s="8" t="n">
        <f aca="false">IFERROR(AVERAGE(J55:J114),"")</f>
        <v>0.066045119863872</v>
      </c>
    </row>
    <row r="115" customFormat="false" ht="15" hidden="false" customHeight="false" outlineLevel="0" collapsed="false">
      <c r="A115" s="3" t="n">
        <v>45720</v>
      </c>
      <c r="B115" s="4" t="n">
        <f aca="false">0.0637</f>
        <v>0.0637</v>
      </c>
      <c r="C115" s="4" t="n">
        <f aca="false">B114</f>
        <v>0.064</v>
      </c>
      <c r="D115" s="4" t="n">
        <f aca="false">B115-C115</f>
        <v>-0.000299999999999995</v>
      </c>
      <c r="H115" s="8" t="n">
        <f aca="false">G10+G9*C115</f>
        <v>-0.000253461112781808</v>
      </c>
      <c r="I115" s="8" t="n">
        <f aca="false">D115-H115</f>
        <v>-4.65388872181872E-005</v>
      </c>
      <c r="J115" s="8" t="n">
        <f aca="false">C115+D115/(G12*G6)</f>
        <v>0.0551221575496968</v>
      </c>
      <c r="K115" s="4" t="n">
        <f aca="false">(A115-$A$2)/365</f>
        <v>0.463013698630137</v>
      </c>
      <c r="L115" s="8" t="n">
        <f aca="false">IFERROR(AVERAGE(J56:J115),"")</f>
        <v>0.0653872756869057</v>
      </c>
    </row>
    <row r="116" customFormat="false" ht="15" hidden="false" customHeight="false" outlineLevel="0" collapsed="false">
      <c r="A116" s="3" t="n">
        <v>45721</v>
      </c>
      <c r="B116" s="4" t="n">
        <f aca="false">0.0629</f>
        <v>0.0629</v>
      </c>
      <c r="C116" s="4" t="n">
        <f aca="false">B115</f>
        <v>0.0637</v>
      </c>
      <c r="D116" s="4" t="n">
        <f aca="false">B116-C116</f>
        <v>-0.000800000000000009</v>
      </c>
      <c r="H116" s="8" t="n">
        <f aca="false">G10+G9*C116</f>
        <v>-0.000243323514541716</v>
      </c>
      <c r="I116" s="8" t="n">
        <f aca="false">D116-H116</f>
        <v>-0.000556676485458293</v>
      </c>
      <c r="J116" s="8" t="n">
        <f aca="false">C116+D116/(G12*G6)</f>
        <v>0.0400257534658574</v>
      </c>
      <c r="K116" s="4" t="n">
        <f aca="false">(A116-$A$2)/365</f>
        <v>0.465753424657534</v>
      </c>
      <c r="L116" s="8" t="n">
        <f aca="false">IFERROR(AVERAGE(J57:J116),"")</f>
        <v>0.0652502996596801</v>
      </c>
    </row>
    <row r="117" customFormat="false" ht="15" hidden="false" customHeight="false" outlineLevel="0" collapsed="false">
      <c r="A117" s="3" t="n">
        <v>45722</v>
      </c>
      <c r="B117" s="4" t="n">
        <f aca="false">0.063</f>
        <v>0.063</v>
      </c>
      <c r="C117" s="4" t="n">
        <f aca="false">B116</f>
        <v>0.0629</v>
      </c>
      <c r="D117" s="4" t="n">
        <f aca="false">B117-C117</f>
        <v>0.000100000000000003</v>
      </c>
      <c r="H117" s="8" t="n">
        <f aca="false">G10+G9*C117</f>
        <v>-0.000216289919234807</v>
      </c>
      <c r="I117" s="8" t="n">
        <f aca="false">D117-H117</f>
        <v>0.00031628991923481</v>
      </c>
      <c r="J117" s="8" t="n">
        <f aca="false">C117+D117/(G12*G6)</f>
        <v>0.0658592808167679</v>
      </c>
      <c r="K117" s="4" t="n">
        <f aca="false">(A117-$A$2)/365</f>
        <v>0.468493150684932</v>
      </c>
      <c r="L117" s="8" t="n">
        <f aca="false">IFERROR(AVERAGE(J58:J117),"")</f>
        <v>0.0646167768296599</v>
      </c>
    </row>
    <row r="118" customFormat="false" ht="15" hidden="false" customHeight="false" outlineLevel="0" collapsed="false">
      <c r="A118" s="3" t="n">
        <v>45723</v>
      </c>
      <c r="B118" s="4" t="n">
        <f aca="false">0.063</f>
        <v>0.063</v>
      </c>
      <c r="C118" s="4" t="n">
        <f aca="false">B117</f>
        <v>0.063</v>
      </c>
      <c r="D118" s="4" t="n">
        <f aca="false">B118-C118</f>
        <v>0</v>
      </c>
      <c r="H118" s="8" t="n">
        <f aca="false">G10+G9*C118</f>
        <v>-0.000219669118648171</v>
      </c>
      <c r="I118" s="8" t="n">
        <f aca="false">D118-H118</f>
        <v>0.000219669118648171</v>
      </c>
      <c r="J118" s="8" t="n">
        <f aca="false">C118+D118/(G12*G6)</f>
        <v>0.063</v>
      </c>
      <c r="K118" s="4" t="n">
        <f aca="false">(A118-$A$2)/365</f>
        <v>0.471232876712329</v>
      </c>
      <c r="L118" s="8" t="n">
        <f aca="false">IFERROR(AVERAGE(J59:J118),"")</f>
        <v>0.0639139326526935</v>
      </c>
    </row>
    <row r="119" customFormat="false" ht="15" hidden="false" customHeight="false" outlineLevel="0" collapsed="false">
      <c r="A119" s="3" t="n">
        <v>45726</v>
      </c>
      <c r="B119" s="4" t="n">
        <f aca="false">0.063</f>
        <v>0.063</v>
      </c>
      <c r="C119" s="4" t="n">
        <f aca="false">B118</f>
        <v>0.063</v>
      </c>
      <c r="D119" s="4" t="n">
        <f aca="false">B119-C119</f>
        <v>0</v>
      </c>
      <c r="H119" s="8" t="n">
        <f aca="false">G10+G9*C119</f>
        <v>-0.000219669118648171</v>
      </c>
      <c r="I119" s="8" t="n">
        <f aca="false">D119-H119</f>
        <v>0.000219669118648171</v>
      </c>
      <c r="J119" s="8" t="n">
        <f aca="false">C119+D119/(G12*G6)</f>
        <v>0.063</v>
      </c>
      <c r="K119" s="4" t="n">
        <f aca="false">(A119-$A$2)/365</f>
        <v>0.479452054794521</v>
      </c>
      <c r="L119" s="8" t="n">
        <f aca="false">IFERROR(AVERAGE(J60:J119),"")</f>
        <v>0.0636333139315757</v>
      </c>
    </row>
    <row r="120" customFormat="false" ht="15" hidden="false" customHeight="false" outlineLevel="0" collapsed="false">
      <c r="A120" s="3" t="n">
        <v>45727</v>
      </c>
      <c r="B120" s="4" t="n">
        <f aca="false">0.0637</f>
        <v>0.0637</v>
      </c>
      <c r="C120" s="4" t="n">
        <f aca="false">B119</f>
        <v>0.063</v>
      </c>
      <c r="D120" s="4" t="n">
        <f aca="false">B120-C120</f>
        <v>0.000700000000000006</v>
      </c>
      <c r="H120" s="8" t="n">
        <f aca="false">G10+G9*C120</f>
        <v>-0.000219669118648171</v>
      </c>
      <c r="I120" s="8" t="n">
        <f aca="false">D120-H120</f>
        <v>0.000919669118648177</v>
      </c>
      <c r="J120" s="8" t="n">
        <f aca="false">C120+D120/(G12*G6)</f>
        <v>0.0837149657173747</v>
      </c>
      <c r="K120" s="4" t="n">
        <f aca="false">(A120-$A$2)/365</f>
        <v>0.482191780821918</v>
      </c>
      <c r="L120" s="8" t="n">
        <f aca="false">IFERROR(AVERAGE(J61:J120),"")</f>
        <v>0.0642831341357676</v>
      </c>
    </row>
    <row r="121" customFormat="false" ht="15" hidden="false" customHeight="false" outlineLevel="0" collapsed="false">
      <c r="A121" s="3" t="n">
        <v>45728</v>
      </c>
      <c r="B121" s="4" t="n">
        <f aca="false">0.0634</f>
        <v>0.0634</v>
      </c>
      <c r="C121" s="4" t="n">
        <f aca="false">B120</f>
        <v>0.0637</v>
      </c>
      <c r="D121" s="4" t="n">
        <f aca="false">B121-C121</f>
        <v>-0.000300000000000009</v>
      </c>
      <c r="H121" s="8" t="n">
        <f aca="false">G10+G9*C121</f>
        <v>-0.000243323514541716</v>
      </c>
      <c r="I121" s="8" t="n">
        <f aca="false">D121-H121</f>
        <v>-5.66764854582921E-005</v>
      </c>
      <c r="J121" s="8" t="n">
        <f aca="false">C121+D121/(G12*G6)</f>
        <v>0.0548221575496964</v>
      </c>
      <c r="K121" s="4" t="n">
        <f aca="false">(A121-$A$2)/365</f>
        <v>0.484931506849315</v>
      </c>
      <c r="L121" s="8" t="n">
        <f aca="false">IFERROR(AVERAGE(J62:J121),"")</f>
        <v>0.0640701700949292</v>
      </c>
    </row>
    <row r="122" customFormat="false" ht="15" hidden="false" customHeight="false" outlineLevel="0" collapsed="false">
      <c r="A122" s="3" t="n">
        <v>45729</v>
      </c>
      <c r="B122" s="4" t="n">
        <f aca="false">0.064</f>
        <v>0.064</v>
      </c>
      <c r="C122" s="4" t="n">
        <f aca="false">B121</f>
        <v>0.0634</v>
      </c>
      <c r="D122" s="4" t="n">
        <f aca="false">B122-C122</f>
        <v>0.000600000000000003</v>
      </c>
      <c r="H122" s="8" t="n">
        <f aca="false">G10+G9*C122</f>
        <v>-0.000233185916301625</v>
      </c>
      <c r="I122" s="8" t="n">
        <f aca="false">D122-H122</f>
        <v>0.000833185916301629</v>
      </c>
      <c r="J122" s="8" t="n">
        <f aca="false">C122+D122/(G12*G6)</f>
        <v>0.0811556849006068</v>
      </c>
      <c r="K122" s="4" t="n">
        <f aca="false">(A122-$A$2)/365</f>
        <v>0.487671232876712</v>
      </c>
      <c r="L122" s="8" t="n">
        <f aca="false">IFERROR(AVERAGE(J63:J122),"")</f>
        <v>0.0641481341357676</v>
      </c>
    </row>
    <row r="123" customFormat="false" ht="15" hidden="false" customHeight="false" outlineLevel="0" collapsed="false">
      <c r="A123" s="3" t="n">
        <v>45733</v>
      </c>
      <c r="B123" s="4" t="n">
        <f aca="false">0.0641</f>
        <v>0.0641</v>
      </c>
      <c r="C123" s="4" t="n">
        <f aca="false">B122</f>
        <v>0.064</v>
      </c>
      <c r="D123" s="4" t="n">
        <f aca="false">B123-C123</f>
        <v>0.000100000000000003</v>
      </c>
      <c r="H123" s="8" t="n">
        <f aca="false">G10+G9*C123</f>
        <v>-0.000253461112781808</v>
      </c>
      <c r="I123" s="8" t="n">
        <f aca="false">D123-H123</f>
        <v>0.00035346111278181</v>
      </c>
      <c r="J123" s="8" t="n">
        <f aca="false">C123+D123/(G12*G6)</f>
        <v>0.0669592808167679</v>
      </c>
      <c r="K123" s="4" t="n">
        <f aca="false">(A123-$A$2)/365</f>
        <v>0.498630136986301</v>
      </c>
      <c r="L123" s="8" t="n">
        <f aca="false">IFERROR(AVERAGE(J64:J123),"")</f>
        <v>0.0638858487479831</v>
      </c>
    </row>
    <row r="124" customFormat="false" ht="15" hidden="false" customHeight="false" outlineLevel="0" collapsed="false">
      <c r="A124" s="3" t="n">
        <v>45734</v>
      </c>
      <c r="B124" s="4" t="n">
        <f aca="false">0.064</f>
        <v>0.064</v>
      </c>
      <c r="C124" s="4" t="n">
        <f aca="false">B123</f>
        <v>0.0641</v>
      </c>
      <c r="D124" s="4" t="n">
        <f aca="false">B124-C124</f>
        <v>-0.000100000000000003</v>
      </c>
      <c r="H124" s="8" t="n">
        <f aca="false">G10+G9*C124</f>
        <v>-0.000256840312195171</v>
      </c>
      <c r="I124" s="8" t="n">
        <f aca="false">D124-H124</f>
        <v>0.000156840312195168</v>
      </c>
      <c r="J124" s="8" t="n">
        <f aca="false">C124+D124/(G12*G6)</f>
        <v>0.0611407191832321</v>
      </c>
      <c r="K124" s="4" t="n">
        <f aca="false">(A124-$A$2)/365</f>
        <v>0.501369863013699</v>
      </c>
      <c r="L124" s="8" t="n">
        <f aca="false">IFERROR(AVERAGE(J65:J124),"")</f>
        <v>0.0638635034282626</v>
      </c>
    </row>
    <row r="125" customFormat="false" ht="15" hidden="false" customHeight="false" outlineLevel="0" collapsed="false">
      <c r="A125" s="3" t="n">
        <v>45735</v>
      </c>
      <c r="B125" s="4" t="n">
        <f aca="false">0.0645</f>
        <v>0.0645</v>
      </c>
      <c r="C125" s="4" t="n">
        <f aca="false">B124</f>
        <v>0.064</v>
      </c>
      <c r="D125" s="4" t="n">
        <f aca="false">B125-C125</f>
        <v>0.0005</v>
      </c>
      <c r="H125" s="8" t="n">
        <f aca="false">G10+G9*C125</f>
        <v>-0.000253461112781808</v>
      </c>
      <c r="I125" s="8" t="n">
        <f aca="false">D125-H125</f>
        <v>0.000753461112781808</v>
      </c>
      <c r="J125" s="8" t="n">
        <f aca="false">C125+D125/(G12*G6)</f>
        <v>0.078796404083839</v>
      </c>
      <c r="K125" s="4" t="n">
        <f aca="false">(A125-$A$2)/365</f>
        <v>0.504109589041096</v>
      </c>
      <c r="L125" s="8" t="n">
        <f aca="false">IFERROR(AVERAGE(J66:J125),"")</f>
        <v>0.0639414674691009</v>
      </c>
    </row>
    <row r="126" customFormat="false" ht="15" hidden="false" customHeight="false" outlineLevel="0" collapsed="false">
      <c r="A126" s="3" t="n">
        <v>45736</v>
      </c>
      <c r="B126" s="4" t="n">
        <f aca="false">0.0645</f>
        <v>0.0645</v>
      </c>
      <c r="C126" s="4" t="n">
        <f aca="false">B125</f>
        <v>0.0645</v>
      </c>
      <c r="D126" s="4" t="n">
        <f aca="false">B126-C126</f>
        <v>0</v>
      </c>
      <c r="H126" s="8" t="n">
        <f aca="false">G10+G9*C126</f>
        <v>-0.000270357109848625</v>
      </c>
      <c r="I126" s="8" t="n">
        <f aca="false">D126-H126</f>
        <v>0.000270357109848625</v>
      </c>
      <c r="J126" s="8" t="n">
        <f aca="false">C126+D126/(G12*G6)</f>
        <v>0.0645</v>
      </c>
      <c r="K126" s="4" t="n">
        <f aca="false">(A126-$A$2)/365</f>
        <v>0.506849315068493</v>
      </c>
      <c r="L126" s="8" t="n">
        <f aca="false">IFERROR(AVERAGE(J67:J126),"")</f>
        <v>0.0636298607343703</v>
      </c>
    </row>
    <row r="127" customFormat="false" ht="15" hidden="false" customHeight="false" outlineLevel="0" collapsed="false">
      <c r="A127" s="3" t="n">
        <v>45737</v>
      </c>
      <c r="B127" s="4" t="n">
        <f aca="false">0.0644</f>
        <v>0.0644</v>
      </c>
      <c r="C127" s="4" t="n">
        <f aca="false">B126</f>
        <v>0.0645</v>
      </c>
      <c r="D127" s="4" t="n">
        <f aca="false">B127-C127</f>
        <v>-0.000100000000000003</v>
      </c>
      <c r="H127" s="8" t="n">
        <f aca="false">G10+G9*C127</f>
        <v>-0.000270357109848625</v>
      </c>
      <c r="I127" s="8" t="n">
        <f aca="false">D127-H127</f>
        <v>0.000170357109848623</v>
      </c>
      <c r="J127" s="8" t="n">
        <f aca="false">C127+D127/(G12*G6)</f>
        <v>0.0615407191832321</v>
      </c>
      <c r="K127" s="4" t="n">
        <f aca="false">(A127-$A$2)/365</f>
        <v>0.50958904109589</v>
      </c>
      <c r="L127" s="8" t="n">
        <f aca="false">IFERROR(AVERAGE(J68:J127),"")</f>
        <v>0.0637538127888215</v>
      </c>
    </row>
    <row r="128" customFormat="false" ht="15" hidden="false" customHeight="false" outlineLevel="0" collapsed="false">
      <c r="A128" s="3" t="n">
        <v>45740</v>
      </c>
      <c r="B128" s="4" t="n">
        <f aca="false">0.0641</f>
        <v>0.0641</v>
      </c>
      <c r="C128" s="4" t="n">
        <f aca="false">B127</f>
        <v>0.0644</v>
      </c>
      <c r="D128" s="4" t="n">
        <f aca="false">B128-C128</f>
        <v>-0.000299999999999995</v>
      </c>
      <c r="H128" s="8" t="n">
        <f aca="false">G10+G9*C128</f>
        <v>-0.000266977910435262</v>
      </c>
      <c r="I128" s="8" t="n">
        <f aca="false">D128-H128</f>
        <v>-3.30220895647328E-005</v>
      </c>
      <c r="J128" s="8" t="n">
        <f aca="false">C128+D128/(G12*G6)</f>
        <v>0.0555221575496968</v>
      </c>
      <c r="K128" s="4" t="n">
        <f aca="false">(A128-$A$2)/365</f>
        <v>0.517808219178082</v>
      </c>
      <c r="L128" s="8" t="n">
        <f aca="false">IFERROR(AVERAGE(J69:J128),"")</f>
        <v>0.0634405393874242</v>
      </c>
    </row>
    <row r="129" customFormat="false" ht="15" hidden="false" customHeight="false" outlineLevel="0" collapsed="false">
      <c r="A129" s="3" t="n">
        <v>45741</v>
      </c>
      <c r="B129" s="4" t="n">
        <f aca="false">0.0641</f>
        <v>0.0641</v>
      </c>
      <c r="C129" s="4" t="n">
        <f aca="false">B128</f>
        <v>0.0641</v>
      </c>
      <c r="D129" s="4" t="n">
        <f aca="false">B129-C129</f>
        <v>0</v>
      </c>
      <c r="H129" s="8" t="n">
        <f aca="false">G10+G9*C129</f>
        <v>-0.000256840312195171</v>
      </c>
      <c r="I129" s="8" t="n">
        <f aca="false">D129-H129</f>
        <v>0.000256840312195171</v>
      </c>
      <c r="J129" s="8" t="n">
        <f aca="false">C129+D129/(G12*G6)</f>
        <v>0.0641</v>
      </c>
      <c r="K129" s="4" t="n">
        <f aca="false">(A129-$A$2)/365</f>
        <v>0.520547945205479</v>
      </c>
      <c r="L129" s="8" t="n">
        <f aca="false">IFERROR(AVERAGE(J70:J129),"")</f>
        <v>0.0639080742038316</v>
      </c>
    </row>
    <row r="130" customFormat="false" ht="15" hidden="false" customHeight="false" outlineLevel="0" collapsed="false">
      <c r="A130" s="3" t="n">
        <v>45742</v>
      </c>
      <c r="B130" s="4" t="n">
        <f aca="false">0.0631</f>
        <v>0.0631</v>
      </c>
      <c r="C130" s="4" t="n">
        <f aca="false">B129</f>
        <v>0.0641</v>
      </c>
      <c r="D130" s="4" t="n">
        <f aca="false">B130-C130</f>
        <v>-0.00100000000000001</v>
      </c>
      <c r="H130" s="8" t="n">
        <f aca="false">G10+G9*C130</f>
        <v>-0.000256840312195171</v>
      </c>
      <c r="I130" s="8" t="n">
        <f aca="false">D130-H130</f>
        <v>-0.000743159687804844</v>
      </c>
      <c r="J130" s="8" t="n">
        <f aca="false">C130+D130/(G12*G6)</f>
        <v>0.0345071918323217</v>
      </c>
      <c r="K130" s="4" t="n">
        <f aca="false">(A130-$A$2)/365</f>
        <v>0.523287671232877</v>
      </c>
      <c r="L130" s="8" t="n">
        <f aca="false">IFERROR(AVERAGE(J71:J130),"")</f>
        <v>0.0626183738635117</v>
      </c>
    </row>
    <row r="131" customFormat="false" ht="15" hidden="false" customHeight="false" outlineLevel="0" collapsed="false">
      <c r="A131" s="3" t="n">
        <v>45743</v>
      </c>
      <c r="B131" s="4" t="n">
        <f aca="false">0.0624</f>
        <v>0.0624</v>
      </c>
      <c r="C131" s="4" t="n">
        <f aca="false">B130</f>
        <v>0.0631</v>
      </c>
      <c r="D131" s="4" t="n">
        <f aca="false">B131-C131</f>
        <v>-0.000699999999999985</v>
      </c>
      <c r="H131" s="8" t="n">
        <f aca="false">G10+G9*C131</f>
        <v>-0.000223048318061534</v>
      </c>
      <c r="I131" s="8" t="n">
        <f aca="false">D131-H131</f>
        <v>-0.000476951681938451</v>
      </c>
      <c r="J131" s="8" t="n">
        <f aca="false">C131+D131/(G12*G6)</f>
        <v>0.0423850342826259</v>
      </c>
      <c r="K131" s="4" t="n">
        <f aca="false">(A131-$A$2)/365</f>
        <v>0.526027397260274</v>
      </c>
      <c r="L131" s="8" t="n">
        <f aca="false">IFERROR(AVERAGE(J72:J131),"")</f>
        <v>0.0621747911015554</v>
      </c>
    </row>
    <row r="132" customFormat="false" ht="15" hidden="false" customHeight="false" outlineLevel="0" collapsed="false">
      <c r="A132" s="3" t="n">
        <v>45744</v>
      </c>
      <c r="B132" s="4" t="n">
        <f aca="false">0.072</f>
        <v>0.072</v>
      </c>
      <c r="C132" s="4" t="n">
        <f aca="false">B131</f>
        <v>0.0624</v>
      </c>
      <c r="D132" s="4" t="n">
        <f aca="false">B132-C132</f>
        <v>0.0096</v>
      </c>
      <c r="H132" s="8" t="n">
        <f aca="false">G10+G9*C132</f>
        <v>-0.000199393922167989</v>
      </c>
      <c r="I132" s="8" t="n">
        <f aca="false">D132-H132</f>
        <v>0.00979939392216799</v>
      </c>
      <c r="J132" s="8" t="n">
        <f aca="false">C132+D132/(G12*G6)</f>
        <v>0.346490958409708</v>
      </c>
      <c r="K132" s="4" t="n">
        <f aca="false">(A132-$A$2)/365</f>
        <v>0.528767123287671</v>
      </c>
      <c r="L132" s="8" t="n">
        <f aca="false">IFERROR(AVERAGE(J73:J132),"")</f>
        <v>0.0655666067347307</v>
      </c>
    </row>
    <row r="133" customFormat="false" ht="15" hidden="false" customHeight="false" outlineLevel="0" collapsed="false">
      <c r="A133" s="3" t="n">
        <v>45749</v>
      </c>
      <c r="B133" s="4" t="n">
        <f aca="false">0.0633</f>
        <v>0.0633</v>
      </c>
      <c r="C133" s="4" t="n">
        <f aca="false">B132</f>
        <v>0.072</v>
      </c>
      <c r="D133" s="4" t="n">
        <f aca="false">B133-C133</f>
        <v>-0.00870000000000001</v>
      </c>
      <c r="H133" s="8" t="n">
        <f aca="false">G10+G9*C133</f>
        <v>-0.000523797065850899</v>
      </c>
      <c r="I133" s="8" t="n">
        <f aca="false">D133-H133</f>
        <v>-0.00817620293414911</v>
      </c>
      <c r="J133" s="8" t="n">
        <f aca="false">C133+D133/(G12*G6)</f>
        <v>-0.185457431058798</v>
      </c>
      <c r="K133" s="4" t="n">
        <f aca="false">(A133-$A$2)/365</f>
        <v>0.542465753424658</v>
      </c>
      <c r="L133" s="8" t="n">
        <f aca="false">IFERROR(AVERAGE(J74:J133),"")</f>
        <v>0.0639966569657878</v>
      </c>
    </row>
    <row r="134" customFormat="false" ht="15" hidden="false" customHeight="false" outlineLevel="0" collapsed="false">
      <c r="A134" s="3" t="n">
        <v>45750</v>
      </c>
      <c r="B134" s="4" t="n">
        <f aca="false">0.061</f>
        <v>0.061</v>
      </c>
      <c r="C134" s="4" t="n">
        <f aca="false">B133</f>
        <v>0.0633</v>
      </c>
      <c r="D134" s="4" t="n">
        <f aca="false">B134-C134</f>
        <v>-0.0023</v>
      </c>
      <c r="H134" s="8" t="n">
        <f aca="false">G10+G9*C134</f>
        <v>-0.000229806716888262</v>
      </c>
      <c r="I134" s="8" t="n">
        <f aca="false">D134-H134</f>
        <v>-0.00207019328311174</v>
      </c>
      <c r="J134" s="8" t="n">
        <f aca="false">C134+D134/(G12*G6)</f>
        <v>-0.00476345878565912</v>
      </c>
      <c r="K134" s="4" t="n">
        <f aca="false">(A134-$A$2)/365</f>
        <v>0.545205479452055</v>
      </c>
      <c r="L134" s="8" t="n">
        <f aca="false">IFERROR(AVERAGE(J75:J134),"")</f>
        <v>0.0630145513738114</v>
      </c>
    </row>
    <row r="135" customFormat="false" ht="15" hidden="false" customHeight="false" outlineLevel="0" collapsed="false">
      <c r="A135" s="3" t="n">
        <v>45751</v>
      </c>
      <c r="B135" s="4" t="n">
        <f aca="false">0.0615</f>
        <v>0.0615</v>
      </c>
      <c r="C135" s="4" t="n">
        <f aca="false">B134</f>
        <v>0.061</v>
      </c>
      <c r="D135" s="4" t="n">
        <f aca="false">B135-C135</f>
        <v>0.000500000000000007</v>
      </c>
      <c r="H135" s="8" t="n">
        <f aca="false">G10+G9*C135</f>
        <v>-0.000152085130380898</v>
      </c>
      <c r="I135" s="8" t="n">
        <f aca="false">D135-H135</f>
        <v>0.000652085130380905</v>
      </c>
      <c r="J135" s="8" t="n">
        <f aca="false">C135+D135/(G12*G6)</f>
        <v>0.0757964040838392</v>
      </c>
      <c r="K135" s="4" t="n">
        <f aca="false">(A135-$A$2)/365</f>
        <v>0.547945205479452</v>
      </c>
      <c r="L135" s="8" t="n">
        <f aca="false">IFERROR(AVERAGE(J76:J135),"")</f>
        <v>0.0631844914418754</v>
      </c>
    </row>
    <row r="136" customFormat="false" ht="15" hidden="false" customHeight="false" outlineLevel="0" collapsed="false">
      <c r="A136" s="3" t="n">
        <v>45754</v>
      </c>
      <c r="B136" s="4" t="n">
        <f aca="false">0.0624</f>
        <v>0.0624</v>
      </c>
      <c r="C136" s="4" t="n">
        <f aca="false">B135</f>
        <v>0.0615</v>
      </c>
      <c r="D136" s="4" t="n">
        <f aca="false">B136-C136</f>
        <v>0.000899999999999998</v>
      </c>
      <c r="H136" s="8" t="n">
        <f aca="false">G10+G9*C136</f>
        <v>-0.000168981127447717</v>
      </c>
      <c r="I136" s="8" t="n">
        <f aca="false">D136-H136</f>
        <v>0.00106898112744771</v>
      </c>
      <c r="J136" s="8" t="n">
        <f aca="false">C136+D136/(G12*G6)</f>
        <v>0.0881335273509101</v>
      </c>
      <c r="K136" s="4" t="n">
        <f aca="false">(A136-$A$2)/365</f>
        <v>0.556164383561644</v>
      </c>
      <c r="L136" s="8" t="n">
        <f aca="false">IFERROR(AVERAGE(J77:J136),"")</f>
        <v>0.0626229446390807</v>
      </c>
    </row>
    <row r="137" customFormat="false" ht="15" hidden="false" customHeight="false" outlineLevel="0" collapsed="false">
      <c r="A137" s="3" t="n">
        <v>45755</v>
      </c>
      <c r="B137" s="4" t="n">
        <f aca="false">0.0625</f>
        <v>0.0625</v>
      </c>
      <c r="C137" s="4" t="n">
        <f aca="false">B136</f>
        <v>0.0624</v>
      </c>
      <c r="D137" s="4" t="n">
        <f aca="false">B137-C137</f>
        <v>9.99999999999959E-005</v>
      </c>
      <c r="H137" s="8" t="n">
        <f aca="false">G10+G9*C137</f>
        <v>-0.000199393922167989</v>
      </c>
      <c r="I137" s="8" t="n">
        <f aca="false">D137-H137</f>
        <v>0.000299393922167985</v>
      </c>
      <c r="J137" s="8" t="n">
        <f aca="false">C137+D137/(G12*G6)</f>
        <v>0.0653592808167677</v>
      </c>
      <c r="K137" s="4" t="n">
        <f aca="false">(A137-$A$2)/365</f>
        <v>0.558904109589041</v>
      </c>
      <c r="L137" s="8" t="n">
        <f aca="false">IFERROR(AVERAGE(J78:J137),"")</f>
        <v>0.0618474457818349</v>
      </c>
    </row>
    <row r="138" customFormat="false" ht="15" hidden="false" customHeight="false" outlineLevel="0" collapsed="false">
      <c r="A138" s="3" t="n">
        <v>45756</v>
      </c>
      <c r="B138" s="4" t="n">
        <f aca="false">0.0602</f>
        <v>0.0602</v>
      </c>
      <c r="C138" s="4" t="n">
        <f aca="false">B137</f>
        <v>0.0625</v>
      </c>
      <c r="D138" s="4" t="n">
        <f aca="false">B138-C138</f>
        <v>-0.0023</v>
      </c>
      <c r="H138" s="8" t="n">
        <f aca="false">G10+G9*C138</f>
        <v>-0.000202773121581353</v>
      </c>
      <c r="I138" s="8" t="n">
        <f aca="false">D138-H138</f>
        <v>-0.00209722687841865</v>
      </c>
      <c r="J138" s="8" t="n">
        <f aca="false">C138+D138/(G12*G6)</f>
        <v>-0.00556345878565932</v>
      </c>
      <c r="K138" s="4" t="n">
        <f aca="false">(A138-$A$2)/365</f>
        <v>0.561643835616438</v>
      </c>
      <c r="L138" s="8" t="n">
        <f aca="false">IFERROR(AVERAGE(J79:J138),"")</f>
        <v>0.0607033641626328</v>
      </c>
    </row>
    <row r="139" customFormat="false" ht="15" hidden="false" customHeight="false" outlineLevel="0" collapsed="false">
      <c r="A139" s="3" t="n">
        <v>45758</v>
      </c>
      <c r="B139" s="4" t="n">
        <f aca="false">0.0585</f>
        <v>0.0585</v>
      </c>
      <c r="C139" s="4" t="n">
        <f aca="false">B138</f>
        <v>0.0602</v>
      </c>
      <c r="D139" s="4" t="n">
        <f aca="false">B139-C139</f>
        <v>-0.0017</v>
      </c>
      <c r="H139" s="8" t="n">
        <f aca="false">G10+G9*C139</f>
        <v>-0.000125051535073989</v>
      </c>
      <c r="I139" s="8" t="n">
        <f aca="false">D139-H139</f>
        <v>-0.00157494846492601</v>
      </c>
      <c r="J139" s="8" t="n">
        <f aca="false">C139+D139/(G12*G6)</f>
        <v>0.00989222611494753</v>
      </c>
      <c r="K139" s="4" t="n">
        <f aca="false">(A139-$A$2)/365</f>
        <v>0.567123287671233</v>
      </c>
      <c r="L139" s="8" t="n">
        <f aca="false">IFERROR(AVERAGE(J80:J139),"")</f>
        <v>0.0591790331148079</v>
      </c>
    </row>
    <row r="140" customFormat="false" ht="15" hidden="false" customHeight="false" outlineLevel="0" collapsed="false">
      <c r="A140" s="3" t="n">
        <v>45762</v>
      </c>
      <c r="B140" s="4" t="n">
        <f aca="false">0.0593</f>
        <v>0.0593</v>
      </c>
      <c r="C140" s="4" t="n">
        <f aca="false">B139</f>
        <v>0.0585</v>
      </c>
      <c r="D140" s="4" t="n">
        <f aca="false">B140-C140</f>
        <v>0.000800000000000002</v>
      </c>
      <c r="H140" s="8" t="n">
        <f aca="false">G10+G9*C140</f>
        <v>-6.76051450468069E-005</v>
      </c>
      <c r="I140" s="8" t="n">
        <f aca="false">D140-H140</f>
        <v>0.000867605145046809</v>
      </c>
      <c r="J140" s="8" t="n">
        <f aca="false">C140+D140/(G12*G6)</f>
        <v>0.0821742465341424</v>
      </c>
      <c r="K140" s="4" t="n">
        <f aca="false">(A140-$A$2)/365</f>
        <v>0.578082191780822</v>
      </c>
      <c r="L140" s="8" t="n">
        <f aca="false">IFERROR(AVERAGE(J81:J140),"")</f>
        <v>0.0589397117678617</v>
      </c>
    </row>
    <row r="141" customFormat="false" ht="15" hidden="false" customHeight="false" outlineLevel="0" collapsed="false">
      <c r="A141" s="3" t="n">
        <v>45763</v>
      </c>
      <c r="B141" s="4" t="n">
        <f aca="false">0.0593</f>
        <v>0.0593</v>
      </c>
      <c r="C141" s="4" t="n">
        <f aca="false">B140</f>
        <v>0.0593</v>
      </c>
      <c r="D141" s="4" t="n">
        <f aca="false">B141-C141</f>
        <v>0</v>
      </c>
      <c r="H141" s="8" t="n">
        <f aca="false">G10+G9*C141</f>
        <v>-9.46387403537162E-005</v>
      </c>
      <c r="I141" s="8" t="n">
        <f aca="false">D141-H141</f>
        <v>9.46387403537162E-005</v>
      </c>
      <c r="J141" s="8" t="n">
        <f aca="false">C141+D141/(G12*G6)</f>
        <v>0.0593</v>
      </c>
      <c r="K141" s="4" t="n">
        <f aca="false">(A141-$A$2)/365</f>
        <v>0.580821917808219</v>
      </c>
      <c r="L141" s="8" t="n">
        <f aca="false">IFERROR(AVERAGE(J82:J141),"")</f>
        <v>0.0591426158767641</v>
      </c>
    </row>
    <row r="142" customFormat="false" ht="15" hidden="false" customHeight="false" outlineLevel="0" collapsed="false">
      <c r="A142" s="3" t="n">
        <v>45764</v>
      </c>
      <c r="B142" s="4" t="n">
        <f aca="false">0.0593</f>
        <v>0.0593</v>
      </c>
      <c r="C142" s="4" t="n">
        <f aca="false">B141</f>
        <v>0.0593</v>
      </c>
      <c r="D142" s="4" t="n">
        <f aca="false">B142-C142</f>
        <v>0</v>
      </c>
      <c r="H142" s="8" t="n">
        <f aca="false">G10+G9*C142</f>
        <v>-9.46387403537162E-005</v>
      </c>
      <c r="I142" s="8" t="n">
        <f aca="false">D142-H142</f>
        <v>9.46387403537162E-005</v>
      </c>
      <c r="J142" s="8" t="n">
        <f aca="false">C142+D142/(G12*G6)</f>
        <v>0.0593</v>
      </c>
      <c r="K142" s="4" t="n">
        <f aca="false">(A142-$A$2)/365</f>
        <v>0.583561643835617</v>
      </c>
      <c r="L142" s="8" t="n">
        <f aca="false">IFERROR(AVERAGE(J83:J142),"")</f>
        <v>0.060937136421276</v>
      </c>
    </row>
    <row r="143" customFormat="false" ht="15" hidden="false" customHeight="false" outlineLevel="0" collapsed="false">
      <c r="A143" s="3" t="n">
        <v>45768</v>
      </c>
      <c r="B143" s="4" t="n">
        <f aca="false">0.0593</f>
        <v>0.0593</v>
      </c>
      <c r="C143" s="4" t="n">
        <f aca="false">B142</f>
        <v>0.0593</v>
      </c>
      <c r="D143" s="4" t="n">
        <f aca="false">B143-C143</f>
        <v>0</v>
      </c>
      <c r="H143" s="8" t="n">
        <f aca="false">G10+G9*C143</f>
        <v>-9.46387403537162E-005</v>
      </c>
      <c r="I143" s="8" t="n">
        <f aca="false">D143-H143</f>
        <v>9.46387403537162E-005</v>
      </c>
      <c r="J143" s="8" t="n">
        <f aca="false">C143+D143/(G12*G6)</f>
        <v>0.0593</v>
      </c>
      <c r="K143" s="4" t="n">
        <f aca="false">(A143-$A$2)/365</f>
        <v>0.594520547945206</v>
      </c>
      <c r="L143" s="8" t="n">
        <f aca="false">IFERROR(AVERAGE(J84:J143),"")</f>
        <v>0.0613186832240706</v>
      </c>
    </row>
    <row r="144" customFormat="false" ht="15" hidden="false" customHeight="false" outlineLevel="0" collapsed="false">
      <c r="A144" s="3" t="n">
        <v>45769</v>
      </c>
      <c r="B144" s="4" t="n">
        <f aca="false">0.0595</f>
        <v>0.0595</v>
      </c>
      <c r="C144" s="4" t="n">
        <f aca="false">B143</f>
        <v>0.0593</v>
      </c>
      <c r="D144" s="4" t="n">
        <f aca="false">B144-C144</f>
        <v>0.000200000000000006</v>
      </c>
      <c r="H144" s="8" t="n">
        <f aca="false">G10+G9*C144</f>
        <v>-9.46387403537162E-005</v>
      </c>
      <c r="I144" s="8" t="n">
        <f aca="false">D144-H144</f>
        <v>0.000294638740353722</v>
      </c>
      <c r="J144" s="8" t="n">
        <f aca="false">C144+D144/(G12*G6)</f>
        <v>0.0652185616335358</v>
      </c>
      <c r="K144" s="4" t="n">
        <f aca="false">(A144-$A$2)/365</f>
        <v>0.597260273972603</v>
      </c>
      <c r="L144" s="8" t="n">
        <f aca="false">IFERROR(AVERAGE(J85:J144),"")</f>
        <v>0.0606811484076632</v>
      </c>
    </row>
    <row r="145" customFormat="false" ht="15" hidden="false" customHeight="false" outlineLevel="0" collapsed="false">
      <c r="A145" s="3" t="n">
        <v>45770</v>
      </c>
      <c r="B145" s="4" t="n">
        <f aca="false">0.06</f>
        <v>0.06</v>
      </c>
      <c r="C145" s="4" t="n">
        <f aca="false">B144</f>
        <v>0.0595</v>
      </c>
      <c r="D145" s="4" t="n">
        <f aca="false">B145-C145</f>
        <v>0.000499999999999994</v>
      </c>
      <c r="H145" s="8" t="n">
        <f aca="false">G10+G9*C145</f>
        <v>-0.000101397139180443</v>
      </c>
      <c r="I145" s="8" t="n">
        <f aca="false">D145-H145</f>
        <v>0.000601397139180437</v>
      </c>
      <c r="J145" s="8" t="n">
        <f aca="false">C145+D145/(G12*G6)</f>
        <v>0.0742964040838388</v>
      </c>
      <c r="K145" s="4" t="n">
        <f aca="false">(A145-$A$2)/365</f>
        <v>0.6</v>
      </c>
      <c r="L145" s="8" t="n">
        <f aca="false">IFERROR(AVERAGE(J86:J145),"")</f>
        <v>0.0607651004621144</v>
      </c>
    </row>
    <row r="146" customFormat="false" ht="15" hidden="false" customHeight="false" outlineLevel="0" collapsed="false">
      <c r="A146" s="3" t="n">
        <v>45771</v>
      </c>
      <c r="B146" s="4" t="n">
        <f aca="false">0.0595</f>
        <v>0.0595</v>
      </c>
      <c r="C146" s="4" t="n">
        <f aca="false">B145</f>
        <v>0.06</v>
      </c>
      <c r="D146" s="4" t="n">
        <f aca="false">B146-C146</f>
        <v>-0.000499999999999994</v>
      </c>
      <c r="H146" s="8" t="n">
        <f aca="false">G10+G9*C146</f>
        <v>-0.000118293136247262</v>
      </c>
      <c r="I146" s="8" t="n">
        <f aca="false">D146-H146</f>
        <v>-0.000381706863752732</v>
      </c>
      <c r="J146" s="8" t="n">
        <f aca="false">C146+D146/(G12*G6)</f>
        <v>0.0452035959161612</v>
      </c>
      <c r="K146" s="4" t="n">
        <f aca="false">(A146-$A$2)/365</f>
        <v>0.602739726027397</v>
      </c>
      <c r="L146" s="8" t="n">
        <f aca="false">IFERROR(AVERAGE(J87:J146),"")</f>
        <v>0.0598692922443096</v>
      </c>
    </row>
    <row r="147" customFormat="false" ht="15" hidden="false" customHeight="false" outlineLevel="0" collapsed="false">
      <c r="A147" s="3" t="n">
        <v>45772</v>
      </c>
      <c r="B147" s="4" t="n">
        <f aca="false">0.0595</f>
        <v>0.0595</v>
      </c>
      <c r="C147" s="4" t="n">
        <f aca="false">B146</f>
        <v>0.0595</v>
      </c>
      <c r="D147" s="4" t="n">
        <f aca="false">B147-C147</f>
        <v>0</v>
      </c>
      <c r="H147" s="8" t="n">
        <f aca="false">G10+G9*C147</f>
        <v>-0.000101397139180443</v>
      </c>
      <c r="I147" s="8" t="n">
        <f aca="false">D147-H147</f>
        <v>0.000101397139180443</v>
      </c>
      <c r="J147" s="8" t="n">
        <f aca="false">C147+D147/(G12*G6)</f>
        <v>0.0595</v>
      </c>
      <c r="K147" s="4" t="n">
        <f aca="false">(A147-$A$2)/365</f>
        <v>0.605479452054795</v>
      </c>
      <c r="L147" s="8" t="n">
        <f aca="false">IFERROR(AVERAGE(J88:J147),"")</f>
        <v>0.0604264577682221</v>
      </c>
    </row>
    <row r="148" customFormat="false" ht="15" hidden="false" customHeight="false" outlineLevel="0" collapsed="false">
      <c r="A148" s="3" t="n">
        <v>45775</v>
      </c>
      <c r="B148" s="4" t="n">
        <f aca="false">0.0595</f>
        <v>0.0595</v>
      </c>
      <c r="C148" s="4" t="n">
        <f aca="false">B147</f>
        <v>0.0595</v>
      </c>
      <c r="D148" s="4" t="n">
        <f aca="false">B148-C148</f>
        <v>0</v>
      </c>
      <c r="H148" s="8" t="n">
        <f aca="false">G10+G9*C148</f>
        <v>-0.000101397139180443</v>
      </c>
      <c r="I148" s="8" t="n">
        <f aca="false">D148-H148</f>
        <v>0.000101397139180443</v>
      </c>
      <c r="J148" s="8" t="n">
        <f aca="false">C148+D148/(G12*G6)</f>
        <v>0.0595</v>
      </c>
      <c r="K148" s="4" t="n">
        <f aca="false">(A148-$A$2)/365</f>
        <v>0.613698630136986</v>
      </c>
      <c r="L148" s="8" t="n">
        <f aca="false">IFERROR(AVERAGE(J89:J148),"")</f>
        <v>0.060267136421276</v>
      </c>
    </row>
    <row r="149" customFormat="false" ht="15" hidden="false" customHeight="false" outlineLevel="0" collapsed="false">
      <c r="A149" s="3" t="n">
        <v>45776</v>
      </c>
      <c r="B149" s="4" t="n">
        <f aca="false">0.0594</f>
        <v>0.0594</v>
      </c>
      <c r="C149" s="4" t="n">
        <f aca="false">B148</f>
        <v>0.0595</v>
      </c>
      <c r="D149" s="4" t="n">
        <f aca="false">B149-C149</f>
        <v>-0.000100000000000003</v>
      </c>
      <c r="H149" s="8" t="n">
        <f aca="false">G10+G9*C149</f>
        <v>-0.000101397139180443</v>
      </c>
      <c r="I149" s="8" t="n">
        <f aca="false">D149-H149</f>
        <v>1.3971391804406E-006</v>
      </c>
      <c r="J149" s="8" t="n">
        <f aca="false">C149+D149/(G12*G6)</f>
        <v>0.0565407191832321</v>
      </c>
      <c r="K149" s="4" t="n">
        <f aca="false">(A149-$A$2)/365</f>
        <v>0.616438356164384</v>
      </c>
      <c r="L149" s="8" t="n">
        <f aca="false">IFERROR(AVERAGE(J90:J149),"")</f>
        <v>0.0599581843668248</v>
      </c>
    </row>
    <row r="150" customFormat="false" ht="15" hidden="false" customHeight="false" outlineLevel="0" collapsed="false">
      <c r="A150" s="3" t="n">
        <v>45777</v>
      </c>
      <c r="B150" s="4" t="n">
        <f aca="false">0.06</f>
        <v>0.06</v>
      </c>
      <c r="C150" s="4" t="n">
        <f aca="false">B149</f>
        <v>0.0594</v>
      </c>
      <c r="D150" s="4" t="n">
        <f aca="false">B150-C150</f>
        <v>0.000599999999999996</v>
      </c>
      <c r="H150" s="8" t="n">
        <f aca="false">G10+G9*C150</f>
        <v>-9.80179397670801E-005</v>
      </c>
      <c r="I150" s="8" t="n">
        <f aca="false">D150-H150</f>
        <v>0.000698017939767076</v>
      </c>
      <c r="J150" s="8" t="n">
        <f aca="false">C150+D150/(G12*G6)</f>
        <v>0.0771556849006067</v>
      </c>
      <c r="K150" s="4" t="n">
        <f aca="false">(A150-$A$2)/365</f>
        <v>0.619178082191781</v>
      </c>
      <c r="L150" s="8" t="n">
        <f aca="false">IFERROR(AVERAGE(J91:J150),"")</f>
        <v>0.0601357791151682</v>
      </c>
    </row>
    <row r="151" customFormat="false" ht="15" hidden="false" customHeight="false" outlineLevel="0" collapsed="false">
      <c r="A151" s="3" t="n">
        <v>45779</v>
      </c>
      <c r="B151" s="4" t="n">
        <f aca="false">0.0595</f>
        <v>0.0595</v>
      </c>
      <c r="C151" s="4" t="n">
        <f aca="false">B150</f>
        <v>0.06</v>
      </c>
      <c r="D151" s="4" t="n">
        <f aca="false">B151-C151</f>
        <v>-0.000499999999999994</v>
      </c>
      <c r="H151" s="8" t="n">
        <f aca="false">G10+G9*C151</f>
        <v>-0.000118293136247262</v>
      </c>
      <c r="I151" s="8" t="n">
        <f aca="false">D151-H151</f>
        <v>-0.000381706863752732</v>
      </c>
      <c r="J151" s="8" t="n">
        <f aca="false">C151+D151/(G12*G6)</f>
        <v>0.0452035959161612</v>
      </c>
      <c r="K151" s="4" t="n">
        <f aca="false">(A151-$A$2)/365</f>
        <v>0.624657534246575</v>
      </c>
      <c r="L151" s="8" t="n">
        <f aca="false">IFERROR(AVERAGE(J92:J151),"")</f>
        <v>0.0597808390471042</v>
      </c>
    </row>
    <row r="152" customFormat="false" ht="15" hidden="false" customHeight="false" outlineLevel="0" collapsed="false">
      <c r="A152" s="3" t="n">
        <v>45782</v>
      </c>
      <c r="B152" s="4" t="n">
        <f aca="false">0.0594</f>
        <v>0.0594</v>
      </c>
      <c r="C152" s="4" t="n">
        <f aca="false">B151</f>
        <v>0.0595</v>
      </c>
      <c r="D152" s="4" t="n">
        <f aca="false">B152-C152</f>
        <v>-0.000100000000000003</v>
      </c>
      <c r="H152" s="8" t="n">
        <f aca="false">G10+G9*C152</f>
        <v>-0.000101397139180443</v>
      </c>
      <c r="I152" s="8" t="n">
        <f aca="false">D152-H152</f>
        <v>1.3971391804406E-006</v>
      </c>
      <c r="J152" s="8" t="n">
        <f aca="false">C152+D152/(G12*G6)</f>
        <v>0.0565407191832321</v>
      </c>
      <c r="K152" s="4" t="n">
        <f aca="false">(A152-$A$2)/365</f>
        <v>0.632876712328767</v>
      </c>
      <c r="L152" s="8" t="n">
        <f aca="false">IFERROR(AVERAGE(J93:J152),"")</f>
        <v>0.0597134937273837</v>
      </c>
    </row>
    <row r="153" customFormat="false" ht="15" hidden="false" customHeight="false" outlineLevel="0" collapsed="false">
      <c r="A153" s="3" t="n">
        <v>45783</v>
      </c>
      <c r="B153" s="4" t="n">
        <f aca="false">0.059</f>
        <v>0.059</v>
      </c>
      <c r="C153" s="4" t="n">
        <f aca="false">B152</f>
        <v>0.0594</v>
      </c>
      <c r="D153" s="4" t="n">
        <f aca="false">B153-C153</f>
        <v>-0.000399999999999998</v>
      </c>
      <c r="H153" s="8" t="n">
        <f aca="false">G10+G9*C153</f>
        <v>-9.80179397670801E-005</v>
      </c>
      <c r="I153" s="8" t="n">
        <f aca="false">D153-H153</f>
        <v>-0.000301982060232918</v>
      </c>
      <c r="J153" s="8" t="n">
        <f aca="false">C153+D153/(G12*G6)</f>
        <v>0.0475628767329289</v>
      </c>
      <c r="K153" s="4" t="n">
        <f aca="false">(A153-$A$2)/365</f>
        <v>0.635616438356164</v>
      </c>
      <c r="L153" s="8" t="n">
        <f aca="false">IFERROR(AVERAGE(J94:J153),"")</f>
        <v>0.0593025656457069</v>
      </c>
    </row>
    <row r="154" customFormat="false" ht="15" hidden="false" customHeight="false" outlineLevel="0" collapsed="false">
      <c r="A154" s="3" t="n">
        <v>45784</v>
      </c>
      <c r="B154" s="4" t="n">
        <f aca="false">0.059</f>
        <v>0.059</v>
      </c>
      <c r="C154" s="4" t="n">
        <f aca="false">B153</f>
        <v>0.059</v>
      </c>
      <c r="D154" s="4" t="n">
        <f aca="false">B154-C154</f>
        <v>0</v>
      </c>
      <c r="H154" s="8" t="n">
        <f aca="false">G10+G9*C154</f>
        <v>-8.45011421136252E-005</v>
      </c>
      <c r="I154" s="8" t="n">
        <f aca="false">D154-H154</f>
        <v>8.45011421136252E-005</v>
      </c>
      <c r="J154" s="8" t="n">
        <f aca="false">C154+D154/(G12*G6)</f>
        <v>0.059</v>
      </c>
      <c r="K154" s="4" t="n">
        <f aca="false">(A154-$A$2)/365</f>
        <v>0.638356164383562</v>
      </c>
      <c r="L154" s="8" t="n">
        <f aca="false">IFERROR(AVERAGE(J95:J154),"")</f>
        <v>0.0591775656457069</v>
      </c>
    </row>
    <row r="155" customFormat="false" ht="15" hidden="false" customHeight="false" outlineLevel="0" collapsed="false">
      <c r="A155" s="3" t="n">
        <v>45785</v>
      </c>
      <c r="B155" s="4" t="n">
        <f aca="false">0.059</f>
        <v>0.059</v>
      </c>
      <c r="C155" s="4" t="n">
        <f aca="false">B154</f>
        <v>0.059</v>
      </c>
      <c r="D155" s="4" t="n">
        <f aca="false">B155-C155</f>
        <v>0</v>
      </c>
      <c r="H155" s="8" t="n">
        <f aca="false">G10+G9*C155</f>
        <v>-8.45011421136252E-005</v>
      </c>
      <c r="I155" s="8" t="n">
        <f aca="false">D155-H155</f>
        <v>8.45011421136252E-005</v>
      </c>
      <c r="J155" s="8" t="n">
        <f aca="false">C155+D155/(G12*G6)</f>
        <v>0.059</v>
      </c>
      <c r="K155" s="4" t="n">
        <f aca="false">(A155-$A$2)/365</f>
        <v>0.641095890410959</v>
      </c>
      <c r="L155" s="8" t="n">
        <f aca="false">IFERROR(AVERAGE(J96:J155),"")</f>
        <v>0.0590525656457069</v>
      </c>
    </row>
    <row r="156" customFormat="false" ht="15" hidden="false" customHeight="false" outlineLevel="0" collapsed="false">
      <c r="A156" s="3" t="n">
        <v>45786</v>
      </c>
      <c r="B156" s="4" t="n">
        <f aca="false">0.059</f>
        <v>0.059</v>
      </c>
      <c r="C156" s="4" t="n">
        <f aca="false">B155</f>
        <v>0.059</v>
      </c>
      <c r="D156" s="4" t="n">
        <f aca="false">B156-C156</f>
        <v>0</v>
      </c>
      <c r="H156" s="8" t="n">
        <f aca="false">G10+G9*C156</f>
        <v>-8.45011421136252E-005</v>
      </c>
      <c r="I156" s="8" t="n">
        <f aca="false">D156-H156</f>
        <v>8.45011421136252E-005</v>
      </c>
      <c r="J156" s="8" t="n">
        <f aca="false">C156+D156/(G12*G6)</f>
        <v>0.059</v>
      </c>
      <c r="K156" s="4" t="n">
        <f aca="false">(A156-$A$2)/365</f>
        <v>0.643835616438356</v>
      </c>
      <c r="L156" s="8" t="n">
        <f aca="false">IFERROR(AVERAGE(J97:J156),"")</f>
        <v>0.0589275656457069</v>
      </c>
    </row>
    <row r="157" customFormat="false" ht="15" hidden="false" customHeight="false" outlineLevel="0" collapsed="false">
      <c r="A157" s="3" t="n">
        <v>45790</v>
      </c>
      <c r="B157" s="4" t="n">
        <f aca="false">0.059</f>
        <v>0.059</v>
      </c>
      <c r="C157" s="4" t="n">
        <f aca="false">B156</f>
        <v>0.059</v>
      </c>
      <c r="D157" s="4" t="n">
        <f aca="false">B157-C157</f>
        <v>0</v>
      </c>
      <c r="H157" s="8" t="n">
        <f aca="false">G10+G9*C157</f>
        <v>-8.45011421136252E-005</v>
      </c>
      <c r="I157" s="8" t="n">
        <f aca="false">D157-H157</f>
        <v>8.45011421136252E-005</v>
      </c>
      <c r="J157" s="8" t="n">
        <f aca="false">C157+D157/(G12*G6)</f>
        <v>0.059</v>
      </c>
      <c r="K157" s="4" t="n">
        <f aca="false">(A157-$A$2)/365</f>
        <v>0.654794520547945</v>
      </c>
      <c r="L157" s="8" t="n">
        <f aca="false">IFERROR(AVERAGE(J98:J157),"")</f>
        <v>0.0589998510334914</v>
      </c>
    </row>
    <row r="158" customFormat="false" ht="15" hidden="false" customHeight="false" outlineLevel="0" collapsed="false">
      <c r="A158" s="3" t="n">
        <v>45791</v>
      </c>
      <c r="B158" s="4" t="n">
        <f aca="false">0.059</f>
        <v>0.059</v>
      </c>
      <c r="C158" s="4" t="n">
        <f aca="false">B157</f>
        <v>0.059</v>
      </c>
      <c r="D158" s="4" t="n">
        <f aca="false">B158-C158</f>
        <v>0</v>
      </c>
      <c r="H158" s="8" t="n">
        <f aca="false">G10+G9*C158</f>
        <v>-8.45011421136252E-005</v>
      </c>
      <c r="I158" s="8" t="n">
        <f aca="false">D158-H158</f>
        <v>8.45011421136252E-005</v>
      </c>
      <c r="J158" s="8" t="n">
        <f aca="false">C158+D158/(G12*G6)</f>
        <v>0.059</v>
      </c>
      <c r="K158" s="4" t="n">
        <f aca="false">(A158-$A$2)/365</f>
        <v>0.657534246575342</v>
      </c>
      <c r="L158" s="8" t="n">
        <f aca="false">IFERROR(AVERAGE(J99:J158),"")</f>
        <v>0.0590294817409965</v>
      </c>
    </row>
    <row r="159" customFormat="false" ht="15" hidden="false" customHeight="false" outlineLevel="0" collapsed="false">
      <c r="A159" s="3" t="n">
        <v>45792</v>
      </c>
      <c r="B159" s="4" t="n">
        <f aca="false">0.059</f>
        <v>0.059</v>
      </c>
      <c r="C159" s="4" t="n">
        <f aca="false">B158</f>
        <v>0.059</v>
      </c>
      <c r="D159" s="4" t="n">
        <f aca="false">B159-C159</f>
        <v>0</v>
      </c>
      <c r="H159" s="8" t="n">
        <f aca="false">G10+G9*C159</f>
        <v>-8.45011421136252E-005</v>
      </c>
      <c r="I159" s="8" t="n">
        <f aca="false">D159-H159</f>
        <v>8.45011421136252E-005</v>
      </c>
      <c r="J159" s="8" t="n">
        <f aca="false">C159+D159/(G12*G6)</f>
        <v>0.059</v>
      </c>
      <c r="K159" s="4" t="n">
        <f aca="false">(A159-$A$2)/365</f>
        <v>0.66027397260274</v>
      </c>
      <c r="L159" s="8" t="n">
        <f aca="false">IFERROR(AVERAGE(J100:J159),"")</f>
        <v>0.0591134337954477</v>
      </c>
    </row>
    <row r="160" customFormat="false" ht="15" hidden="false" customHeight="false" outlineLevel="0" collapsed="false">
      <c r="A160" s="3" t="n">
        <v>45793</v>
      </c>
      <c r="B160" s="4" t="n">
        <f aca="false">0.0589</f>
        <v>0.0589</v>
      </c>
      <c r="C160" s="4" t="n">
        <f aca="false">B159</f>
        <v>0.059</v>
      </c>
      <c r="D160" s="4" t="n">
        <f aca="false">B160-C160</f>
        <v>-0.00010000000000001</v>
      </c>
      <c r="H160" s="8" t="n">
        <f aca="false">G10+G9*C160</f>
        <v>-8.45011421136252E-005</v>
      </c>
      <c r="I160" s="8" t="n">
        <f aca="false">D160-H160</f>
        <v>-1.54988578863846E-005</v>
      </c>
      <c r="J160" s="8" t="n">
        <f aca="false">C160+D160/(G12*G6)</f>
        <v>0.0560407191832319</v>
      </c>
      <c r="K160" s="4" t="n">
        <f aca="false">(A160-$A$2)/365</f>
        <v>0.663013698630137</v>
      </c>
      <c r="L160" s="8" t="n">
        <f aca="false">IFERROR(AVERAGE(J101:J160),"")</f>
        <v>0.0598945513738114</v>
      </c>
    </row>
    <row r="161" customFormat="false" ht="15" hidden="false" customHeight="false" outlineLevel="0" collapsed="false">
      <c r="A161" s="3" t="n">
        <v>45796</v>
      </c>
      <c r="B161" s="4" t="n">
        <f aca="false">0.0586</f>
        <v>0.0586</v>
      </c>
      <c r="C161" s="4" t="n">
        <f aca="false">B160</f>
        <v>0.0589</v>
      </c>
      <c r="D161" s="4" t="n">
        <f aca="false">B161-C161</f>
        <v>-0.000299999999999988</v>
      </c>
      <c r="H161" s="8" t="n">
        <f aca="false">G10+G9*C161</f>
        <v>-8.11219427002614E-005</v>
      </c>
      <c r="I161" s="8" t="n">
        <f aca="false">D161-H161</f>
        <v>-0.000218878057299726</v>
      </c>
      <c r="J161" s="8" t="n">
        <f aca="false">C161+D161/(G12*G6)</f>
        <v>0.050022157549697</v>
      </c>
      <c r="K161" s="4" t="n">
        <f aca="false">(A161-$A$2)/365</f>
        <v>0.671232876712329</v>
      </c>
      <c r="L161" s="8" t="n">
        <f aca="false">IFERROR(AVERAGE(J102:J161),"")</f>
        <v>0.0594233139315757</v>
      </c>
    </row>
    <row r="162" customFormat="false" ht="15" hidden="false" customHeight="false" outlineLevel="0" collapsed="false">
      <c r="A162" s="3" t="n">
        <v>45797</v>
      </c>
      <c r="B162" s="4" t="n">
        <f aca="false">0.0585</f>
        <v>0.0585</v>
      </c>
      <c r="C162" s="4" t="n">
        <f aca="false">B161</f>
        <v>0.0586</v>
      </c>
      <c r="D162" s="4" t="n">
        <f aca="false">B162-C162</f>
        <v>-0.00010000000000001</v>
      </c>
      <c r="H162" s="8" t="n">
        <f aca="false">G10+G9*C162</f>
        <v>-7.09843444601707E-005</v>
      </c>
      <c r="I162" s="8" t="n">
        <f aca="false">D162-H162</f>
        <v>-2.90156555398391E-005</v>
      </c>
      <c r="J162" s="8" t="n">
        <f aca="false">C162+D162/(G12*G6)</f>
        <v>0.0556407191832319</v>
      </c>
      <c r="K162" s="4" t="n">
        <f aca="false">(A162-$A$2)/365</f>
        <v>0.673972602739726</v>
      </c>
      <c r="L162" s="8" t="n">
        <f aca="false">IFERROR(AVERAGE(J103:J162),"")</f>
        <v>0.0592839925846295</v>
      </c>
    </row>
    <row r="163" customFormat="false" ht="15" hidden="false" customHeight="false" outlineLevel="0" collapsed="false">
      <c r="A163" s="3" t="n">
        <v>45798</v>
      </c>
      <c r="B163" s="4" t="n">
        <f aca="false">0.0585</f>
        <v>0.0585</v>
      </c>
      <c r="C163" s="4" t="n">
        <f aca="false">B162</f>
        <v>0.0585</v>
      </c>
      <c r="D163" s="4" t="n">
        <f aca="false">B163-C163</f>
        <v>0</v>
      </c>
      <c r="H163" s="8" t="n">
        <f aca="false">G10+G9*C163</f>
        <v>-6.76051450468069E-005</v>
      </c>
      <c r="I163" s="8" t="n">
        <f aca="false">D163-H163</f>
        <v>6.76051450468069E-005</v>
      </c>
      <c r="J163" s="8" t="n">
        <f aca="false">C163+D163/(G12*G6)</f>
        <v>0.0585</v>
      </c>
      <c r="K163" s="4" t="n">
        <f aca="false">(A163-$A$2)/365</f>
        <v>0.676712328767123</v>
      </c>
      <c r="L163" s="8" t="n">
        <f aca="false">IFERROR(AVERAGE(J104:J163),"")</f>
        <v>0.0591923259179629</v>
      </c>
    </row>
    <row r="164" customFormat="false" ht="15" hidden="false" customHeight="false" outlineLevel="0" collapsed="false">
      <c r="A164" s="3" t="n">
        <v>45799</v>
      </c>
      <c r="B164" s="4" t="n">
        <f aca="false">0.059</f>
        <v>0.059</v>
      </c>
      <c r="C164" s="4" t="n">
        <f aca="false">B163</f>
        <v>0.0585</v>
      </c>
      <c r="D164" s="4" t="n">
        <f aca="false">B164-C164</f>
        <v>0.000500000000000007</v>
      </c>
      <c r="H164" s="8" t="n">
        <f aca="false">G10+G9*C164</f>
        <v>-6.76051450468069E-005</v>
      </c>
      <c r="I164" s="8" t="n">
        <f aca="false">D164-H164</f>
        <v>0.000567605145046814</v>
      </c>
      <c r="J164" s="8" t="n">
        <f aca="false">C164+D164/(G12*G6)</f>
        <v>0.0732964040838392</v>
      </c>
      <c r="K164" s="4" t="n">
        <f aca="false">(A164-$A$2)/365</f>
        <v>0.679452054794521</v>
      </c>
      <c r="L164" s="8" t="n">
        <f aca="false">IFERROR(AVERAGE(J105:J164),"")</f>
        <v>0.0593472659860268</v>
      </c>
    </row>
    <row r="165" customFormat="false" ht="15" hidden="false" customHeight="false" outlineLevel="0" collapsed="false">
      <c r="A165" s="3" t="n">
        <v>45800</v>
      </c>
      <c r="B165" s="4" t="n">
        <f aca="false">0.059</f>
        <v>0.059</v>
      </c>
      <c r="C165" s="4" t="n">
        <f aca="false">B164</f>
        <v>0.059</v>
      </c>
      <c r="D165" s="4" t="n">
        <f aca="false">B165-C165</f>
        <v>0</v>
      </c>
      <c r="H165" s="8" t="n">
        <f aca="false">G10+G9*C165</f>
        <v>-8.45011421136252E-005</v>
      </c>
      <c r="I165" s="8" t="n">
        <f aca="false">D165-H165</f>
        <v>8.45011421136252E-005</v>
      </c>
      <c r="J165" s="8" t="n">
        <f aca="false">C165+D165/(G12*G6)</f>
        <v>0.059</v>
      </c>
      <c r="K165" s="4" t="n">
        <f aca="false">(A165-$A$2)/365</f>
        <v>0.682191780821918</v>
      </c>
      <c r="L165" s="8" t="n">
        <f aca="false">IFERROR(AVERAGE(J106:J165),"")</f>
        <v>0.0590173259179629</v>
      </c>
    </row>
    <row r="166" customFormat="false" ht="15" hidden="false" customHeight="false" outlineLevel="0" collapsed="false">
      <c r="A166" s="3" t="n">
        <v>45803</v>
      </c>
      <c r="B166" s="4" t="n">
        <f aca="false">0.0585</f>
        <v>0.0585</v>
      </c>
      <c r="C166" s="4" t="n">
        <f aca="false">B165</f>
        <v>0.059</v>
      </c>
      <c r="D166" s="4" t="n">
        <f aca="false">B166-C166</f>
        <v>-0.000500000000000007</v>
      </c>
      <c r="H166" s="8" t="n">
        <f aca="false">G10+G9*C166</f>
        <v>-8.45011421136252E-005</v>
      </c>
      <c r="I166" s="8" t="n">
        <f aca="false">D166-H166</f>
        <v>-0.000415498857886382</v>
      </c>
      <c r="J166" s="8" t="n">
        <f aca="false">C166+D166/(G12*G6)</f>
        <v>0.0442035959161608</v>
      </c>
      <c r="K166" s="4" t="n">
        <f aca="false">(A166-$A$2)/365</f>
        <v>0.69041095890411</v>
      </c>
      <c r="L166" s="8" t="n">
        <f aca="false">IFERROR(AVERAGE(J107:J166),"")</f>
        <v>0.0589256592512962</v>
      </c>
    </row>
    <row r="167" customFormat="false" ht="15" hidden="false" customHeight="false" outlineLevel="0" collapsed="false">
      <c r="A167" s="3" t="n">
        <v>45804</v>
      </c>
      <c r="B167" s="4" t="n">
        <f aca="false">0.0585</f>
        <v>0.0585</v>
      </c>
      <c r="C167" s="4" t="n">
        <f aca="false">B166</f>
        <v>0.0585</v>
      </c>
      <c r="D167" s="4" t="n">
        <f aca="false">B167-C167</f>
        <v>0</v>
      </c>
      <c r="H167" s="8" t="n">
        <f aca="false">G10+G9*C167</f>
        <v>-6.76051450468069E-005</v>
      </c>
      <c r="I167" s="8" t="n">
        <f aca="false">D167-H167</f>
        <v>6.76051450468069E-005</v>
      </c>
      <c r="J167" s="8" t="n">
        <f aca="false">C167+D167/(G12*G6)</f>
        <v>0.0585</v>
      </c>
      <c r="K167" s="4" t="n">
        <f aca="false">(A167-$A$2)/365</f>
        <v>0.693150684931507</v>
      </c>
      <c r="L167" s="8" t="n">
        <f aca="false">IFERROR(AVERAGE(J108:J167),"")</f>
        <v>0.0588339925846295</v>
      </c>
    </row>
    <row r="168" customFormat="false" ht="15" hidden="false" customHeight="false" outlineLevel="0" collapsed="false">
      <c r="A168" s="3" t="n">
        <v>45805</v>
      </c>
      <c r="B168" s="4" t="n">
        <f aca="false">0.0584</f>
        <v>0.0584</v>
      </c>
      <c r="C168" s="4" t="n">
        <f aca="false">B167</f>
        <v>0.0585</v>
      </c>
      <c r="D168" s="4" t="n">
        <f aca="false">B168-C168</f>
        <v>-9.99999999999959E-005</v>
      </c>
      <c r="H168" s="8" t="n">
        <f aca="false">G10+G9*C168</f>
        <v>-6.76051450468069E-005</v>
      </c>
      <c r="I168" s="8" t="n">
        <f aca="false">D168-H168</f>
        <v>-3.2394854953189E-005</v>
      </c>
      <c r="J168" s="8" t="n">
        <f aca="false">C168+D168/(G12*G6)</f>
        <v>0.0555407191832323</v>
      </c>
      <c r="K168" s="4" t="n">
        <f aca="false">(A168-$A$2)/365</f>
        <v>0.695890410958904</v>
      </c>
      <c r="L168" s="8" t="n">
        <f aca="false">IFERROR(AVERAGE(J109:J168),"")</f>
        <v>0.0585943618771245</v>
      </c>
    </row>
    <row r="169" customFormat="false" ht="15" hidden="false" customHeight="false" outlineLevel="0" collapsed="false">
      <c r="A169" s="3" t="n">
        <v>45806</v>
      </c>
      <c r="B169" s="4" t="n">
        <f aca="false">0.0582</f>
        <v>0.0582</v>
      </c>
      <c r="C169" s="4" t="n">
        <f aca="false">B168</f>
        <v>0.0584</v>
      </c>
      <c r="D169" s="4" t="n">
        <f aca="false">B169-C169</f>
        <v>-0.000199999999999999</v>
      </c>
      <c r="H169" s="8" t="n">
        <f aca="false">G10+G9*C169</f>
        <v>-6.42259456334435E-005</v>
      </c>
      <c r="I169" s="8" t="n">
        <f aca="false">D169-H169</f>
        <v>-0.000135774054366555</v>
      </c>
      <c r="J169" s="8" t="n">
        <f aca="false">C169+D169/(G12*G6)</f>
        <v>0.0524814383664645</v>
      </c>
      <c r="K169" s="4" t="n">
        <f aca="false">(A169-$A$2)/365</f>
        <v>0.698630136986301</v>
      </c>
      <c r="L169" s="8" t="n">
        <f aca="false">IFERROR(AVERAGE(J110:J169),"")</f>
        <v>0.0584976952104578</v>
      </c>
    </row>
    <row r="170" customFormat="false" ht="15" hidden="false" customHeight="false" outlineLevel="0" collapsed="false">
      <c r="A170" s="3" t="n">
        <v>45807</v>
      </c>
      <c r="B170" s="4" t="n">
        <f aca="false">0.0586</f>
        <v>0.0586</v>
      </c>
      <c r="C170" s="4" t="n">
        <f aca="false">B169</f>
        <v>0.0582</v>
      </c>
      <c r="D170" s="4" t="n">
        <f aca="false">B170-C170</f>
        <v>0.000400000000000005</v>
      </c>
      <c r="H170" s="8" t="n">
        <f aca="false">G10+G9*C170</f>
        <v>-5.74675468067163E-005</v>
      </c>
      <c r="I170" s="8" t="n">
        <f aca="false">D170-H170</f>
        <v>0.000457467546806721</v>
      </c>
      <c r="J170" s="8" t="n">
        <f aca="false">C170+D170/(G12*G6)</f>
        <v>0.0700371232670713</v>
      </c>
      <c r="K170" s="4" t="n">
        <f aca="false">(A170-$A$2)/365</f>
        <v>0.701369863013699</v>
      </c>
      <c r="L170" s="8" t="n">
        <f aca="false">IFERROR(AVERAGE(J111:J170),"")</f>
        <v>0.0586969566254679</v>
      </c>
    </row>
    <row r="171" customFormat="false" ht="15" hidden="false" customHeight="false" outlineLevel="0" collapsed="false">
      <c r="A171" s="3" t="n">
        <v>45810</v>
      </c>
      <c r="B171" s="4" t="n">
        <f aca="false">0.0584</f>
        <v>0.0584</v>
      </c>
      <c r="C171" s="4" t="n">
        <f aca="false">B170</f>
        <v>0.0586</v>
      </c>
      <c r="D171" s="4" t="n">
        <f aca="false">B171-C171</f>
        <v>-0.000200000000000006</v>
      </c>
      <c r="H171" s="8" t="n">
        <f aca="false">G10+G9*C171</f>
        <v>-7.09843444601707E-005</v>
      </c>
      <c r="I171" s="8" t="n">
        <f aca="false">D171-H171</f>
        <v>-0.000129015655539835</v>
      </c>
      <c r="J171" s="8" t="n">
        <f aca="false">C171+D171/(G12*G6)</f>
        <v>0.0526814383664643</v>
      </c>
      <c r="K171" s="4" t="n">
        <f aca="false">(A171-$A$2)/365</f>
        <v>0.70958904109589</v>
      </c>
      <c r="L171" s="8" t="n">
        <f aca="false">IFERROR(AVERAGE(J112:J171),"")</f>
        <v>0.0584130045710167</v>
      </c>
    </row>
    <row r="172" customFormat="false" ht="15" hidden="false" customHeight="false" outlineLevel="0" collapsed="false">
      <c r="A172" s="3" t="n">
        <v>45811</v>
      </c>
      <c r="B172" s="4" t="n">
        <f aca="false">0.0582</f>
        <v>0.0582</v>
      </c>
      <c r="C172" s="4" t="n">
        <f aca="false">B171</f>
        <v>0.0584</v>
      </c>
      <c r="D172" s="4" t="n">
        <f aca="false">B172-C172</f>
        <v>-0.000199999999999999</v>
      </c>
      <c r="H172" s="8" t="n">
        <f aca="false">G10+G9*C172</f>
        <v>-6.42259456334435E-005</v>
      </c>
      <c r="I172" s="8" t="n">
        <f aca="false">D172-H172</f>
        <v>-0.000135774054366555</v>
      </c>
      <c r="J172" s="8" t="n">
        <f aca="false">C172+D172/(G12*G6)</f>
        <v>0.0524814383664645</v>
      </c>
      <c r="K172" s="4" t="n">
        <f aca="false">(A172-$A$2)/365</f>
        <v>0.712328767123288</v>
      </c>
      <c r="L172" s="8" t="n">
        <f aca="false">IFERROR(AVERAGE(J113:J172),"")</f>
        <v>0.0582210285437911</v>
      </c>
    </row>
    <row r="173" customFormat="false" ht="15" hidden="false" customHeight="false" outlineLevel="0" collapsed="false">
      <c r="A173" s="3" t="n">
        <v>45812</v>
      </c>
      <c r="B173" s="4" t="n">
        <f aca="false">0.058</f>
        <v>0.058</v>
      </c>
      <c r="C173" s="4" t="n">
        <f aca="false">B172</f>
        <v>0.0582</v>
      </c>
      <c r="D173" s="4" t="n">
        <f aca="false">B173-C173</f>
        <v>-0.000200000000000006</v>
      </c>
      <c r="H173" s="8" t="n">
        <f aca="false">G10+G9*C173</f>
        <v>-5.74675468067163E-005</v>
      </c>
      <c r="I173" s="8" t="n">
        <f aca="false">D173-H173</f>
        <v>-0.000142532453193289</v>
      </c>
      <c r="J173" s="8" t="n">
        <f aca="false">C173+D173/(G12*G6)</f>
        <v>0.0522814383664643</v>
      </c>
      <c r="K173" s="4" t="n">
        <f aca="false">(A173-$A$2)/365</f>
        <v>0.715068493150685</v>
      </c>
      <c r="L173" s="8" t="n">
        <f aca="false">IFERROR(AVERAGE(J114:J173),"")</f>
        <v>0.0580257191832322</v>
      </c>
    </row>
    <row r="174" customFormat="false" ht="15" hidden="false" customHeight="false" outlineLevel="0" collapsed="false">
      <c r="A174" s="3" t="n">
        <v>45813</v>
      </c>
      <c r="B174" s="4" t="n">
        <f aca="false">0.058</f>
        <v>0.058</v>
      </c>
      <c r="C174" s="4" t="n">
        <f aca="false">B173</f>
        <v>0.058</v>
      </c>
      <c r="D174" s="4" t="n">
        <f aca="false">B174-C174</f>
        <v>0</v>
      </c>
      <c r="H174" s="8" t="n">
        <f aca="false">G10+G9*C174</f>
        <v>-5.07091479799886E-005</v>
      </c>
      <c r="I174" s="8" t="n">
        <f aca="false">D174-H174</f>
        <v>5.07091479799886E-005</v>
      </c>
      <c r="J174" s="8" t="n">
        <f aca="false">C174+D174/(G12*G6)</f>
        <v>0.058</v>
      </c>
      <c r="K174" s="4" t="n">
        <f aca="false">(A174-$A$2)/365</f>
        <v>0.717808219178082</v>
      </c>
      <c r="L174" s="8" t="n">
        <f aca="false">IFERROR(AVERAGE(J115:J174),"")</f>
        <v>0.0579257191832322</v>
      </c>
    </row>
    <row r="175" customFormat="false" ht="15" hidden="false" customHeight="false" outlineLevel="0" collapsed="false">
      <c r="A175" s="3" t="n">
        <v>45814</v>
      </c>
      <c r="B175" s="4" t="n">
        <f aca="false">0.055</f>
        <v>0.055</v>
      </c>
      <c r="C175" s="4" t="n">
        <f aca="false">B174</f>
        <v>0.058</v>
      </c>
      <c r="D175" s="4" t="n">
        <f aca="false">B175-C175</f>
        <v>-0.003</v>
      </c>
      <c r="H175" s="8" t="n">
        <f aca="false">G10+G9*C175</f>
        <v>-5.07091479799886E-005</v>
      </c>
      <c r="I175" s="8" t="n">
        <f aca="false">D175-H175</f>
        <v>-0.00294929085202001</v>
      </c>
      <c r="J175" s="8" t="n">
        <f aca="false">C175+D175/(G12*G6)</f>
        <v>-0.0307784245030336</v>
      </c>
      <c r="K175" s="4" t="n">
        <f aca="false">(A175-$A$2)/365</f>
        <v>0.72054794520548</v>
      </c>
      <c r="L175" s="8" t="n">
        <f aca="false">IFERROR(AVERAGE(J116:J175),"")</f>
        <v>0.0564940428156867</v>
      </c>
    </row>
    <row r="176" customFormat="false" ht="15" hidden="false" customHeight="false" outlineLevel="0" collapsed="false">
      <c r="A176" s="3" t="n">
        <v>45817</v>
      </c>
      <c r="B176" s="4" t="n">
        <f aca="false">0.0535</f>
        <v>0.0535</v>
      </c>
      <c r="C176" s="4" t="n">
        <f aca="false">B175</f>
        <v>0.055</v>
      </c>
      <c r="D176" s="4" t="n">
        <f aca="false">B176-C176</f>
        <v>-0.0015</v>
      </c>
      <c r="H176" s="8" t="n">
        <f aca="false">G10+G9*C176</f>
        <v>5.06668344209204E-005</v>
      </c>
      <c r="I176" s="8" t="n">
        <f aca="false">D176-H176</f>
        <v>-0.00155066683442092</v>
      </c>
      <c r="J176" s="8" t="n">
        <f aca="false">C176+D176/(G12*G6)</f>
        <v>0.0106107877484831</v>
      </c>
      <c r="K176" s="4" t="n">
        <f aca="false">(A176-$A$2)/365</f>
        <v>0.728767123287671</v>
      </c>
      <c r="L176" s="8" t="n">
        <f aca="false">IFERROR(AVERAGE(J117:J176),"")</f>
        <v>0.0560037933870638</v>
      </c>
    </row>
    <row r="177" customFormat="false" ht="15" hidden="false" customHeight="false" outlineLevel="0" collapsed="false">
      <c r="A177" s="3" t="n">
        <v>45818</v>
      </c>
      <c r="B177" s="4" t="n">
        <f aca="false">0.0535</f>
        <v>0.0535</v>
      </c>
      <c r="C177" s="4" t="n">
        <f aca="false">B176</f>
        <v>0.0535</v>
      </c>
      <c r="D177" s="4" t="n">
        <f aca="false">B177-C177</f>
        <v>0</v>
      </c>
      <c r="H177" s="8" t="n">
        <f aca="false">G10+G9*C177</f>
        <v>0.000101354825621375</v>
      </c>
      <c r="I177" s="8" t="n">
        <f aca="false">D177-H177</f>
        <v>-0.000101354825621375</v>
      </c>
      <c r="J177" s="8" t="n">
        <f aca="false">C177+D177/(G12*G6)</f>
        <v>0.0535</v>
      </c>
      <c r="K177" s="4" t="n">
        <f aca="false">(A177-$A$2)/365</f>
        <v>0.731506849315069</v>
      </c>
      <c r="L177" s="8" t="n">
        <f aca="false">IFERROR(AVERAGE(J118:J177),"")</f>
        <v>0.055797805373451</v>
      </c>
    </row>
    <row r="178" customFormat="false" ht="15" hidden="false" customHeight="false" outlineLevel="0" collapsed="false">
      <c r="A178" s="3" t="n">
        <v>45819</v>
      </c>
      <c r="B178" s="4" t="n">
        <f aca="false">0.0535</f>
        <v>0.0535</v>
      </c>
      <c r="C178" s="4" t="n">
        <f aca="false">B177</f>
        <v>0.0535</v>
      </c>
      <c r="D178" s="4" t="n">
        <f aca="false">B178-C178</f>
        <v>0</v>
      </c>
      <c r="H178" s="8" t="n">
        <f aca="false">G10+G9*C178</f>
        <v>0.000101354825621375</v>
      </c>
      <c r="I178" s="8" t="n">
        <f aca="false">D178-H178</f>
        <v>-0.000101354825621375</v>
      </c>
      <c r="J178" s="8" t="n">
        <f aca="false">C178+D178/(G12*G6)</f>
        <v>0.0535</v>
      </c>
      <c r="K178" s="4" t="n">
        <f aca="false">(A178-$A$2)/365</f>
        <v>0.734246575342466</v>
      </c>
      <c r="L178" s="8" t="n">
        <f aca="false">IFERROR(AVERAGE(J119:J178),"")</f>
        <v>0.0556394720401177</v>
      </c>
    </row>
    <row r="179" customFormat="false" ht="15" hidden="false" customHeight="false" outlineLevel="0" collapsed="false">
      <c r="A179" s="3" t="n">
        <v>45820</v>
      </c>
      <c r="B179" s="4" t="n">
        <f aca="false">0.0534</f>
        <v>0.0534</v>
      </c>
      <c r="C179" s="4" t="n">
        <f aca="false">B178</f>
        <v>0.0535</v>
      </c>
      <c r="D179" s="4" t="n">
        <f aca="false">B179-C179</f>
        <v>-0.000100000000000003</v>
      </c>
      <c r="H179" s="8" t="n">
        <f aca="false">G10+G9*C179</f>
        <v>0.000101354825621375</v>
      </c>
      <c r="I179" s="8" t="n">
        <f aca="false">D179-H179</f>
        <v>-0.000201354825621378</v>
      </c>
      <c r="J179" s="8" t="n">
        <f aca="false">C179+D179/(G12*G6)</f>
        <v>0.0505407191832321</v>
      </c>
      <c r="K179" s="4" t="n">
        <f aca="false">(A179-$A$2)/365</f>
        <v>0.736986301369863</v>
      </c>
      <c r="L179" s="8" t="n">
        <f aca="false">IFERROR(AVERAGE(J120:J179),"")</f>
        <v>0.0554318173598382</v>
      </c>
    </row>
    <row r="180" customFormat="false" ht="15" hidden="false" customHeight="false" outlineLevel="0" collapsed="false">
      <c r="A180" s="3" t="n">
        <v>45821</v>
      </c>
      <c r="B180" s="4" t="n">
        <f aca="false">0.0535</f>
        <v>0.0535</v>
      </c>
      <c r="C180" s="4" t="n">
        <f aca="false">B179</f>
        <v>0.0534</v>
      </c>
      <c r="D180" s="4" t="n">
        <f aca="false">B180-C180</f>
        <v>0.000100000000000003</v>
      </c>
      <c r="H180" s="8" t="n">
        <f aca="false">G10+G9*C180</f>
        <v>0.000104734025034739</v>
      </c>
      <c r="I180" s="8" t="n">
        <f aca="false">D180-H180</f>
        <v>-4.73402503473595E-006</v>
      </c>
      <c r="J180" s="8" t="n">
        <f aca="false">C180+D180/(G12*G6)</f>
        <v>0.0563592808167679</v>
      </c>
      <c r="K180" s="4" t="n">
        <f aca="false">(A180-$A$2)/365</f>
        <v>0.73972602739726</v>
      </c>
      <c r="L180" s="8" t="n">
        <f aca="false">IFERROR(AVERAGE(J121:J180),"")</f>
        <v>0.0549758892781614</v>
      </c>
    </row>
    <row r="181" customFormat="false" ht="15" hidden="false" customHeight="false" outlineLevel="0" collapsed="false">
      <c r="A181" s="3" t="n">
        <v>45824</v>
      </c>
      <c r="B181" s="4" t="n">
        <f aca="false">0.0535</f>
        <v>0.0535</v>
      </c>
      <c r="C181" s="4" t="n">
        <f aca="false">B180</f>
        <v>0.0535</v>
      </c>
      <c r="D181" s="4" t="n">
        <f aca="false">B181-C181</f>
        <v>0</v>
      </c>
      <c r="H181" s="8" t="n">
        <f aca="false">G10+G9*C181</f>
        <v>0.000101354825621375</v>
      </c>
      <c r="I181" s="8" t="n">
        <f aca="false">D181-H181</f>
        <v>-0.000101354825621375</v>
      </c>
      <c r="J181" s="8" t="n">
        <f aca="false">C181+D181/(G12*G6)</f>
        <v>0.0535</v>
      </c>
      <c r="K181" s="4" t="n">
        <f aca="false">(A181-$A$2)/365</f>
        <v>0.747945205479452</v>
      </c>
      <c r="L181" s="8" t="n">
        <f aca="false">IFERROR(AVERAGE(J122:J181),"")</f>
        <v>0.0549538533189998</v>
      </c>
    </row>
    <row r="182" customFormat="false" ht="15" hidden="false" customHeight="false" outlineLevel="0" collapsed="false">
      <c r="A182" s="3" t="n">
        <v>45825</v>
      </c>
      <c r="B182" s="4" t="n">
        <f aca="false">0.053</f>
        <v>0.053</v>
      </c>
      <c r="C182" s="4" t="n">
        <f aca="false">B181</f>
        <v>0.0535</v>
      </c>
      <c r="D182" s="4" t="n">
        <f aca="false">B182-C182</f>
        <v>-0.0005</v>
      </c>
      <c r="H182" s="8" t="n">
        <f aca="false">G10+G9*C182</f>
        <v>0.000101354825621375</v>
      </c>
      <c r="I182" s="8" t="n">
        <f aca="false">D182-H182</f>
        <v>-0.000601354825621375</v>
      </c>
      <c r="J182" s="8" t="n">
        <f aca="false">C182+D182/(G12*G6)</f>
        <v>0.038703595916161</v>
      </c>
      <c r="K182" s="4" t="n">
        <f aca="false">(A182-$A$2)/365</f>
        <v>0.750684931506849</v>
      </c>
      <c r="L182" s="8" t="n">
        <f aca="false">IFERROR(AVERAGE(J123:J182),"")</f>
        <v>0.0542463185025924</v>
      </c>
    </row>
    <row r="183" customFormat="false" ht="15" hidden="false" customHeight="false" outlineLevel="0" collapsed="false">
      <c r="A183" s="3" t="n">
        <v>45826</v>
      </c>
      <c r="B183" s="4" t="n">
        <f aca="false">0.053</f>
        <v>0.053</v>
      </c>
      <c r="C183" s="4" t="n">
        <f aca="false">B182</f>
        <v>0.053</v>
      </c>
      <c r="D183" s="4" t="n">
        <f aca="false">B183-C183</f>
        <v>0</v>
      </c>
      <c r="H183" s="8" t="n">
        <f aca="false">G10+G9*C183</f>
        <v>0.000118250822688193</v>
      </c>
      <c r="I183" s="8" t="n">
        <f aca="false">D183-H183</f>
        <v>-0.000118250822688193</v>
      </c>
      <c r="J183" s="8" t="n">
        <f aca="false">C183+D183/(G12*G6)</f>
        <v>0.053</v>
      </c>
      <c r="K183" s="4" t="n">
        <f aca="false">(A183-$A$2)/365</f>
        <v>0.753424657534247</v>
      </c>
      <c r="L183" s="8" t="n">
        <f aca="false">IFERROR(AVERAGE(J124:J183),"")</f>
        <v>0.0540136638223129</v>
      </c>
    </row>
    <row r="184" customFormat="false" ht="15" hidden="false" customHeight="false" outlineLevel="0" collapsed="false">
      <c r="A184" s="3" t="n">
        <v>45827</v>
      </c>
      <c r="B184" s="4" t="n">
        <f aca="false">0.053</f>
        <v>0.053</v>
      </c>
      <c r="C184" s="4" t="n">
        <f aca="false">B183</f>
        <v>0.053</v>
      </c>
      <c r="D184" s="4" t="n">
        <f aca="false">B184-C184</f>
        <v>0</v>
      </c>
      <c r="H184" s="8" t="n">
        <f aca="false">G10+G9*C184</f>
        <v>0.000118250822688193</v>
      </c>
      <c r="I184" s="8" t="n">
        <f aca="false">D184-H184</f>
        <v>-0.000118250822688193</v>
      </c>
      <c r="J184" s="8" t="n">
        <f aca="false">C184+D184/(G12*G6)</f>
        <v>0.053</v>
      </c>
      <c r="K184" s="4" t="n">
        <f aca="false">(A184-$A$2)/365</f>
        <v>0.756164383561644</v>
      </c>
      <c r="L184" s="8" t="n">
        <f aca="false">IFERROR(AVERAGE(J125:J184),"")</f>
        <v>0.0538779851692591</v>
      </c>
    </row>
    <row r="185" customFormat="false" ht="15" hidden="false" customHeight="false" outlineLevel="0" collapsed="false">
      <c r="A185" s="3" t="n">
        <v>45828</v>
      </c>
      <c r="B185" s="4" t="n">
        <f aca="false">0.053</f>
        <v>0.053</v>
      </c>
      <c r="C185" s="4" t="n">
        <f aca="false">B184</f>
        <v>0.053</v>
      </c>
      <c r="D185" s="4" t="n">
        <f aca="false">B185-C185</f>
        <v>0</v>
      </c>
      <c r="H185" s="8" t="n">
        <f aca="false">G10+G9*C185</f>
        <v>0.000118250822688193</v>
      </c>
      <c r="I185" s="8" t="n">
        <f aca="false">D185-H185</f>
        <v>-0.000118250822688193</v>
      </c>
      <c r="J185" s="8" t="n">
        <f aca="false">C185+D185/(G12*G6)</f>
        <v>0.053</v>
      </c>
      <c r="K185" s="4" t="n">
        <f aca="false">(A185-$A$2)/365</f>
        <v>0.758904109589041</v>
      </c>
      <c r="L185" s="8" t="n">
        <f aca="false">IFERROR(AVERAGE(J126:J185),"")</f>
        <v>0.0534480451011951</v>
      </c>
    </row>
    <row r="186" customFormat="false" ht="15" hidden="false" customHeight="false" outlineLevel="0" collapsed="false">
      <c r="A186" s="3" t="n">
        <v>45831</v>
      </c>
      <c r="B186" s="4" t="n">
        <f aca="false">0.053</f>
        <v>0.053</v>
      </c>
      <c r="C186" s="4" t="n">
        <f aca="false">B185</f>
        <v>0.053</v>
      </c>
      <c r="D186" s="4" t="n">
        <f aca="false">B186-C186</f>
        <v>0</v>
      </c>
      <c r="H186" s="8" t="n">
        <f aca="false">G10+G9*C186</f>
        <v>0.000118250822688193</v>
      </c>
      <c r="I186" s="8" t="n">
        <f aca="false">D186-H186</f>
        <v>-0.000118250822688193</v>
      </c>
      <c r="J186" s="8" t="n">
        <f aca="false">C186+D186/(G12*G6)</f>
        <v>0.053</v>
      </c>
      <c r="K186" s="4" t="n">
        <f aca="false">(A186-$A$2)/365</f>
        <v>0.767123287671233</v>
      </c>
      <c r="L186" s="8" t="n">
        <f aca="false">IFERROR(AVERAGE(J127:J186),"")</f>
        <v>0.0532563784345284</v>
      </c>
    </row>
    <row r="187" customFormat="false" ht="15" hidden="false" customHeight="false" outlineLevel="0" collapsed="false">
      <c r="A187" s="3" t="n">
        <v>45832</v>
      </c>
      <c r="B187" s="4" t="n">
        <f aca="false">0.053</f>
        <v>0.053</v>
      </c>
      <c r="C187" s="4" t="n">
        <f aca="false">B186</f>
        <v>0.053</v>
      </c>
      <c r="D187" s="4" t="n">
        <f aca="false">B187-C187</f>
        <v>0</v>
      </c>
      <c r="H187" s="8" t="n">
        <f aca="false">G10+G9*C187</f>
        <v>0.000118250822688193</v>
      </c>
      <c r="I187" s="8" t="n">
        <f aca="false">D187-H187</f>
        <v>-0.000118250822688193</v>
      </c>
      <c r="J187" s="8" t="n">
        <f aca="false">C187+D187/(G12*G6)</f>
        <v>0.053</v>
      </c>
      <c r="K187" s="4" t="n">
        <f aca="false">(A187-$A$2)/365</f>
        <v>0.76986301369863</v>
      </c>
      <c r="L187" s="8" t="n">
        <f aca="false">IFERROR(AVERAGE(J128:J187),"")</f>
        <v>0.0531140331148079</v>
      </c>
    </row>
    <row r="188" customFormat="false" ht="15" hidden="false" customHeight="false" outlineLevel="0" collapsed="false">
      <c r="A188" s="3" t="n">
        <v>45833</v>
      </c>
      <c r="B188" s="4" t="n">
        <f aca="false">0.0533</f>
        <v>0.0533</v>
      </c>
      <c r="C188" s="4" t="n">
        <f aca="false">B187</f>
        <v>0.053</v>
      </c>
      <c r="D188" s="4" t="n">
        <f aca="false">B188-C188</f>
        <v>0.000300000000000002</v>
      </c>
      <c r="H188" s="8" t="n">
        <f aca="false">G10+G9*C188</f>
        <v>0.000118250822688193</v>
      </c>
      <c r="I188" s="8" t="n">
        <f aca="false">D188-H188</f>
        <v>0.000181749177311808</v>
      </c>
      <c r="J188" s="8" t="n">
        <f aca="false">C188+D188/(G12*G6)</f>
        <v>0.0618778424503034</v>
      </c>
      <c r="K188" s="4" t="n">
        <f aca="false">(A188-$A$2)/365</f>
        <v>0.772602739726027</v>
      </c>
      <c r="L188" s="8" t="n">
        <f aca="false">IFERROR(AVERAGE(J129:J188),"")</f>
        <v>0.0532199611964846</v>
      </c>
    </row>
    <row r="189" customFormat="false" ht="15" hidden="false" customHeight="false" outlineLevel="0" collapsed="false">
      <c r="A189" s="3" t="n">
        <v>45834</v>
      </c>
      <c r="B189" s="4" t="n">
        <f aca="false">0.053</f>
        <v>0.053</v>
      </c>
      <c r="C189" s="4" t="n">
        <f aca="false">B188</f>
        <v>0.0533</v>
      </c>
      <c r="D189" s="4" t="n">
        <f aca="false">B189-C189</f>
        <v>-0.000300000000000002</v>
      </c>
      <c r="H189" s="8" t="n">
        <f aca="false">G10+G9*C189</f>
        <v>0.000108113224448102</v>
      </c>
      <c r="I189" s="8" t="n">
        <f aca="false">D189-H189</f>
        <v>-0.000408113224448104</v>
      </c>
      <c r="J189" s="8" t="n">
        <f aca="false">C189+D189/(G12*G6)</f>
        <v>0.0444221575496966</v>
      </c>
      <c r="K189" s="4" t="n">
        <f aca="false">(A189-$A$2)/365</f>
        <v>0.775342465753425</v>
      </c>
      <c r="L189" s="8" t="n">
        <f aca="false">IFERROR(AVERAGE(J130:J189),"")</f>
        <v>0.0528919971556463</v>
      </c>
    </row>
    <row r="190" customFormat="false" ht="15" hidden="false" customHeight="false" outlineLevel="0" collapsed="false">
      <c r="A190" s="3" t="n">
        <v>45835</v>
      </c>
      <c r="B190" s="4" t="n">
        <f aca="false">0.054</f>
        <v>0.054</v>
      </c>
      <c r="C190" s="4" t="n">
        <f aca="false">B189</f>
        <v>0.053</v>
      </c>
      <c r="D190" s="4" t="n">
        <f aca="false">B190-C190</f>
        <v>0.00100000000000001</v>
      </c>
      <c r="H190" s="8" t="n">
        <f aca="false">G10+G9*C190</f>
        <v>0.000118250822688193</v>
      </c>
      <c r="I190" s="8" t="n">
        <f aca="false">D190-H190</f>
        <v>0.000881749177311815</v>
      </c>
      <c r="J190" s="8" t="n">
        <f aca="false">C190+D190/(G12*G6)</f>
        <v>0.0825928081676782</v>
      </c>
      <c r="K190" s="4" t="n">
        <f aca="false">(A190-$A$2)/365</f>
        <v>0.778082191780822</v>
      </c>
      <c r="L190" s="8" t="n">
        <f aca="false">IFERROR(AVERAGE(J131:J190),"")</f>
        <v>0.0536934240945689</v>
      </c>
    </row>
    <row r="191" customFormat="false" ht="15" hidden="false" customHeight="false" outlineLevel="0" collapsed="false">
      <c r="A191" s="3" t="n">
        <v>45838</v>
      </c>
      <c r="B191" s="4" t="n">
        <f aca="false">0.0552</f>
        <v>0.0552</v>
      </c>
      <c r="C191" s="4" t="n">
        <f aca="false">B190</f>
        <v>0.054</v>
      </c>
      <c r="D191" s="4" t="n">
        <f aca="false">B191-C191</f>
        <v>0.00119999999999999</v>
      </c>
      <c r="H191" s="8" t="n">
        <f aca="false">G10+G9*C191</f>
        <v>8.44588285545567E-005</v>
      </c>
      <c r="I191" s="8" t="n">
        <f aca="false">D191-H191</f>
        <v>0.00111554117144544</v>
      </c>
      <c r="J191" s="8" t="n">
        <f aca="false">C191+D191/(G12*G6)</f>
        <v>0.0895113698012133</v>
      </c>
      <c r="K191" s="4" t="n">
        <f aca="false">(A191-$A$2)/365</f>
        <v>0.786301369863014</v>
      </c>
      <c r="L191" s="8" t="n">
        <f aca="false">IFERROR(AVERAGE(J132:J191),"")</f>
        <v>0.0544788630198787</v>
      </c>
    </row>
    <row r="192" customFormat="false" ht="15" hidden="false" customHeight="false" outlineLevel="0" collapsed="false">
      <c r="A192" s="3" t="n">
        <v>45839</v>
      </c>
      <c r="B192" s="4" t="n">
        <f aca="false">0.0535</f>
        <v>0.0535</v>
      </c>
      <c r="C192" s="4" t="n">
        <f aca="false">B191</f>
        <v>0.0552</v>
      </c>
      <c r="D192" s="4" t="n">
        <f aca="false">B192-C192</f>
        <v>-0.0017</v>
      </c>
      <c r="H192" s="8" t="n">
        <f aca="false">G10+G9*C192</f>
        <v>4.39084355941932E-005</v>
      </c>
      <c r="I192" s="8" t="n">
        <f aca="false">D192-H192</f>
        <v>-0.00174390843559419</v>
      </c>
      <c r="J192" s="8" t="n">
        <f aca="false">C192+D192/(G12*G6)</f>
        <v>0.00489222611494753</v>
      </c>
      <c r="K192" s="4" t="n">
        <f aca="false">(A192-$A$2)/365</f>
        <v>0.789041095890411</v>
      </c>
      <c r="L192" s="8" t="n">
        <f aca="false">IFERROR(AVERAGE(J133:J192),"")</f>
        <v>0.048785550814966</v>
      </c>
    </row>
    <row r="193" customFormat="false" ht="15" hidden="false" customHeight="false" outlineLevel="0" collapsed="false">
      <c r="A193" s="3" t="n">
        <v>45840</v>
      </c>
      <c r="B193" s="4" t="n">
        <f aca="false">0.053</f>
        <v>0.053</v>
      </c>
      <c r="C193" s="4" t="n">
        <f aca="false">B192</f>
        <v>0.0535</v>
      </c>
      <c r="D193" s="4" t="n">
        <f aca="false">B193-C193</f>
        <v>-0.0005</v>
      </c>
      <c r="H193" s="8" t="n">
        <f aca="false">G10+G9*C193</f>
        <v>0.000101354825621375</v>
      </c>
      <c r="I193" s="8" t="n">
        <f aca="false">D193-H193</f>
        <v>-0.000601354825621375</v>
      </c>
      <c r="J193" s="8" t="n">
        <f aca="false">C193+D193/(G12*G6)</f>
        <v>0.038703595916161</v>
      </c>
      <c r="K193" s="4" t="n">
        <f aca="false">(A193-$A$2)/365</f>
        <v>0.791780821917808</v>
      </c>
      <c r="L193" s="8" t="n">
        <f aca="false">IFERROR(AVERAGE(J134:J193),"")</f>
        <v>0.0525215679312153</v>
      </c>
    </row>
    <row r="194" customFormat="false" ht="15" hidden="false" customHeight="false" outlineLevel="0" collapsed="false">
      <c r="A194" s="3" t="n">
        <v>45841</v>
      </c>
      <c r="B194" s="4" t="n">
        <f aca="false">0.053</f>
        <v>0.053</v>
      </c>
      <c r="C194" s="4" t="n">
        <f aca="false">B193</f>
        <v>0.053</v>
      </c>
      <c r="D194" s="4" t="n">
        <f aca="false">B194-C194</f>
        <v>0</v>
      </c>
      <c r="H194" s="8" t="n">
        <f aca="false">G10+G9*C194</f>
        <v>0.000118250822688193</v>
      </c>
      <c r="I194" s="8" t="n">
        <f aca="false">D194-H194</f>
        <v>-0.000118250822688193</v>
      </c>
      <c r="J194" s="8" t="n">
        <f aca="false">C194+D194/(G12*G6)</f>
        <v>0.053</v>
      </c>
      <c r="K194" s="4" t="n">
        <f aca="false">(A194-$A$2)/365</f>
        <v>0.794520547945205</v>
      </c>
      <c r="L194" s="8" t="n">
        <f aca="false">IFERROR(AVERAGE(J135:J194),"")</f>
        <v>0.0534842922443096</v>
      </c>
    </row>
    <row r="195" customFormat="false" ht="15" hidden="false" customHeight="false" outlineLevel="0" collapsed="false">
      <c r="A195" s="3" t="n">
        <v>45842</v>
      </c>
      <c r="B195" s="4" t="n">
        <f aca="false">0.0531</f>
        <v>0.0531</v>
      </c>
      <c r="C195" s="4" t="n">
        <f aca="false">B194</f>
        <v>0.053</v>
      </c>
      <c r="D195" s="4" t="n">
        <f aca="false">B195-C195</f>
        <v>9.99999999999959E-005</v>
      </c>
      <c r="H195" s="8" t="n">
        <f aca="false">G10+G9*C195</f>
        <v>0.000118250822688193</v>
      </c>
      <c r="I195" s="8" t="n">
        <f aca="false">D195-H195</f>
        <v>-1.82508226881973E-005</v>
      </c>
      <c r="J195" s="8" t="n">
        <f aca="false">C195+D195/(G12*G6)</f>
        <v>0.0559592808167677</v>
      </c>
      <c r="K195" s="4" t="n">
        <f aca="false">(A195-$A$2)/365</f>
        <v>0.797260273972603</v>
      </c>
      <c r="L195" s="8" t="n">
        <f aca="false">IFERROR(AVERAGE(J136:J195),"")</f>
        <v>0.0531536735231918</v>
      </c>
    </row>
    <row r="196" customFormat="false" ht="15" hidden="false" customHeight="false" outlineLevel="0" collapsed="false">
      <c r="A196" s="3" t="n">
        <v>45845</v>
      </c>
      <c r="B196" s="4" t="n">
        <f aca="false">0.053</f>
        <v>0.053</v>
      </c>
      <c r="C196" s="4" t="n">
        <f aca="false">B195</f>
        <v>0.0531</v>
      </c>
      <c r="D196" s="4" t="n">
        <f aca="false">B196-C196</f>
        <v>-9.99999999999959E-005</v>
      </c>
      <c r="H196" s="8" t="n">
        <f aca="false">G10+G9*C196</f>
        <v>0.00011487162327483</v>
      </c>
      <c r="I196" s="8" t="n">
        <f aca="false">D196-H196</f>
        <v>-0.000214871623274826</v>
      </c>
      <c r="J196" s="8" t="n">
        <f aca="false">C196+D196/(G12*G6)</f>
        <v>0.0501407191832323</v>
      </c>
      <c r="K196" s="4" t="n">
        <f aca="false">(A196-$A$2)/365</f>
        <v>0.805479452054795</v>
      </c>
      <c r="L196" s="8" t="n">
        <f aca="false">IFERROR(AVERAGE(J137:J196),"")</f>
        <v>0.0525204600537305</v>
      </c>
    </row>
    <row r="197" customFormat="false" ht="15" hidden="false" customHeight="false" outlineLevel="0" collapsed="false">
      <c r="A197" s="3" t="n">
        <v>45846</v>
      </c>
      <c r="B197" s="4" t="n">
        <f aca="false">0.0529</f>
        <v>0.0529</v>
      </c>
      <c r="C197" s="4" t="n">
        <f aca="false">B196</f>
        <v>0.053</v>
      </c>
      <c r="D197" s="4" t="n">
        <f aca="false">B197-C197</f>
        <v>-9.99999999999959E-005</v>
      </c>
      <c r="H197" s="8" t="n">
        <f aca="false">G10+G9*C197</f>
        <v>0.000118250822688193</v>
      </c>
      <c r="I197" s="8" t="n">
        <f aca="false">D197-H197</f>
        <v>-0.000218250822688189</v>
      </c>
      <c r="J197" s="8" t="n">
        <f aca="false">C197+D197/(G12*G6)</f>
        <v>0.0500407191832323</v>
      </c>
      <c r="K197" s="4" t="n">
        <f aca="false">(A197-$A$2)/365</f>
        <v>0.808219178082192</v>
      </c>
      <c r="L197" s="8" t="n">
        <f aca="false">IFERROR(AVERAGE(J138:J197),"")</f>
        <v>0.0522651506931715</v>
      </c>
    </row>
    <row r="198" customFormat="false" ht="15" hidden="false" customHeight="false" outlineLevel="0" collapsed="false">
      <c r="A198" s="3" t="n">
        <v>45847</v>
      </c>
      <c r="B198" s="4" t="n">
        <f aca="false">0.0536</f>
        <v>0.0536</v>
      </c>
      <c r="C198" s="4" t="n">
        <f aca="false">B197</f>
        <v>0.0529</v>
      </c>
      <c r="D198" s="4" t="n">
        <f aca="false">B198-C198</f>
        <v>0.000699999999999999</v>
      </c>
      <c r="H198" s="8" t="n">
        <f aca="false">G10+G9*C198</f>
        <v>0.000121630022101557</v>
      </c>
      <c r="I198" s="8" t="n">
        <f aca="false">D198-H198</f>
        <v>0.000578369977898442</v>
      </c>
      <c r="J198" s="8" t="n">
        <f aca="false">C198+D198/(G12*G6)</f>
        <v>0.0736149657173745</v>
      </c>
      <c r="K198" s="4" t="n">
        <f aca="false">(A198-$A$2)/365</f>
        <v>0.810958904109589</v>
      </c>
      <c r="L198" s="8" t="n">
        <f aca="false">IFERROR(AVERAGE(J139:J198),"")</f>
        <v>0.0535847911015554</v>
      </c>
    </row>
    <row r="199" customFormat="false" ht="15" hidden="false" customHeight="false" outlineLevel="0" collapsed="false">
      <c r="A199" s="3" t="n">
        <v>45848</v>
      </c>
      <c r="B199" s="4" t="n">
        <f aca="false">0.054</f>
        <v>0.054</v>
      </c>
      <c r="C199" s="4" t="n">
        <f aca="false">B198</f>
        <v>0.0536</v>
      </c>
      <c r="D199" s="4" t="n">
        <f aca="false">B199-C199</f>
        <v>0.000400000000000005</v>
      </c>
      <c r="H199" s="8" t="n">
        <f aca="false">G10+G9*C199</f>
        <v>9.79756262080114E-005</v>
      </c>
      <c r="I199" s="8" t="n">
        <f aca="false">D199-H199</f>
        <v>0.000302024373791993</v>
      </c>
      <c r="J199" s="8" t="n">
        <f aca="false">C199+D199/(G12*G6)</f>
        <v>0.0654371232670713</v>
      </c>
      <c r="K199" s="4" t="n">
        <f aca="false">(A199-$A$2)/365</f>
        <v>0.813698630136986</v>
      </c>
      <c r="L199" s="8" t="n">
        <f aca="false">IFERROR(AVERAGE(J140:J199),"")</f>
        <v>0.0545105393874242</v>
      </c>
    </row>
    <row r="200" customFormat="false" ht="15" hidden="false" customHeight="false" outlineLevel="0" collapsed="false">
      <c r="A200" s="3" t="n">
        <v>45849</v>
      </c>
      <c r="B200" s="4" t="n">
        <f aca="false">0.0551</f>
        <v>0.0551</v>
      </c>
      <c r="C200" s="4" t="n">
        <f aca="false">B199</f>
        <v>0.054</v>
      </c>
      <c r="D200" s="4" t="n">
        <f aca="false">B200-C200</f>
        <v>0.00109999999999999</v>
      </c>
      <c r="H200" s="8" t="n">
        <f aca="false">G10+G9*C200</f>
        <v>8.44588285545567E-005</v>
      </c>
      <c r="I200" s="8" t="n">
        <f aca="false">D200-H200</f>
        <v>0.00101554117144543</v>
      </c>
      <c r="J200" s="8" t="n">
        <f aca="false">C200+D200/(G12*G6)</f>
        <v>0.0865520889844454</v>
      </c>
      <c r="K200" s="4" t="n">
        <f aca="false">(A200-$A$2)/365</f>
        <v>0.816438356164384</v>
      </c>
      <c r="L200" s="8" t="n">
        <f aca="false">IFERROR(AVERAGE(J141:J200),"")</f>
        <v>0.0545835034282626</v>
      </c>
    </row>
    <row r="201" customFormat="false" ht="15" hidden="false" customHeight="false" outlineLevel="0" collapsed="false">
      <c r="A201" s="3" t="n">
        <v>45852</v>
      </c>
      <c r="B201" s="4" t="n">
        <f aca="false">0.0538</f>
        <v>0.0538</v>
      </c>
      <c r="C201" s="4" t="n">
        <f aca="false">B200</f>
        <v>0.0551</v>
      </c>
      <c r="D201" s="4" t="n">
        <f aca="false">B201-C201</f>
        <v>-0.0013</v>
      </c>
      <c r="H201" s="8" t="n">
        <f aca="false">G10+G9*C201</f>
        <v>4.7287635007557E-005</v>
      </c>
      <c r="I201" s="8" t="n">
        <f aca="false">D201-H201</f>
        <v>-0.00134728763500755</v>
      </c>
      <c r="J201" s="8" t="n">
        <f aca="false">C201+D201/(G12*G6)</f>
        <v>0.0166293493820188</v>
      </c>
      <c r="K201" s="4" t="n">
        <f aca="false">(A201-$A$2)/365</f>
        <v>0.824657534246575</v>
      </c>
      <c r="L201" s="8" t="n">
        <f aca="false">IFERROR(AVERAGE(J142:J201),"")</f>
        <v>0.0538723259179629</v>
      </c>
    </row>
    <row r="202" customFormat="false" ht="15" hidden="false" customHeight="false" outlineLevel="0" collapsed="false">
      <c r="A202" s="3" t="n">
        <v>45853</v>
      </c>
      <c r="B202" s="4" t="n">
        <f aca="false">0.0544</f>
        <v>0.0544</v>
      </c>
      <c r="C202" s="4" t="n">
        <f aca="false">B201</f>
        <v>0.0538</v>
      </c>
      <c r="D202" s="4" t="n">
        <f aca="false">B202-C202</f>
        <v>0.000600000000000003</v>
      </c>
      <c r="H202" s="8" t="n">
        <f aca="false">G10+G9*C202</f>
        <v>9.12172273812842E-005</v>
      </c>
      <c r="I202" s="8" t="n">
        <f aca="false">D202-H202</f>
        <v>0.000508782772618719</v>
      </c>
      <c r="J202" s="8" t="n">
        <f aca="false">C202+D202/(G12*G6)</f>
        <v>0.0715556849006069</v>
      </c>
      <c r="K202" s="4" t="n">
        <f aca="false">(A202-$A$2)/365</f>
        <v>0.827397260273973</v>
      </c>
      <c r="L202" s="8" t="n">
        <f aca="false">IFERROR(AVERAGE(J143:J202),"")</f>
        <v>0.054076587332973</v>
      </c>
    </row>
    <row r="203" customFormat="false" ht="15" hidden="false" customHeight="false" outlineLevel="0" collapsed="false">
      <c r="A203" s="3" t="n">
        <v>45854</v>
      </c>
      <c r="B203" s="4" t="n">
        <f aca="false">0.054</f>
        <v>0.054</v>
      </c>
      <c r="C203" s="4" t="n">
        <f aca="false">B202</f>
        <v>0.0544</v>
      </c>
      <c r="D203" s="4" t="n">
        <f aca="false">B203-C203</f>
        <v>-0.000399999999999998</v>
      </c>
      <c r="H203" s="8" t="n">
        <f aca="false">G10+G9*C203</f>
        <v>7.0942030901102E-005</v>
      </c>
      <c r="I203" s="8" t="n">
        <f aca="false">D203-H203</f>
        <v>-0.0004709420309011</v>
      </c>
      <c r="J203" s="8" t="n">
        <f aca="false">C203+D203/(G12*G6)</f>
        <v>0.0425628767329289</v>
      </c>
      <c r="K203" s="4" t="n">
        <f aca="false">(A203-$A$2)/365</f>
        <v>0.83013698630137</v>
      </c>
      <c r="L203" s="8" t="n">
        <f aca="false">IFERROR(AVERAGE(J144:J203),"")</f>
        <v>0.0537976352785218</v>
      </c>
    </row>
    <row r="204" customFormat="false" ht="15" hidden="false" customHeight="false" outlineLevel="0" collapsed="false">
      <c r="A204" s="3" t="n">
        <v>45855</v>
      </c>
      <c r="B204" s="4" t="n">
        <f aca="false">0.0539</f>
        <v>0.0539</v>
      </c>
      <c r="C204" s="4" t="n">
        <f aca="false">B203</f>
        <v>0.054</v>
      </c>
      <c r="D204" s="4" t="n">
        <f aca="false">B204-C204</f>
        <v>-0.00010000000000001</v>
      </c>
      <c r="H204" s="8" t="n">
        <f aca="false">G10+G9*C204</f>
        <v>8.44588285545567E-005</v>
      </c>
      <c r="I204" s="8" t="n">
        <f aca="false">D204-H204</f>
        <v>-0.000184458828554567</v>
      </c>
      <c r="J204" s="8" t="n">
        <f aca="false">C204+D204/(G12*G6)</f>
        <v>0.0510407191832319</v>
      </c>
      <c r="K204" s="4" t="n">
        <f aca="false">(A204-$A$2)/365</f>
        <v>0.832876712328767</v>
      </c>
      <c r="L204" s="8" t="n">
        <f aca="false">IFERROR(AVERAGE(J145:J204),"")</f>
        <v>0.0535613379043501</v>
      </c>
    </row>
    <row r="205" customFormat="false" ht="15" hidden="false" customHeight="false" outlineLevel="0" collapsed="false">
      <c r="A205" s="3" t="n">
        <v>45856</v>
      </c>
      <c r="B205" s="4" t="n">
        <f aca="false">0.0539</f>
        <v>0.0539</v>
      </c>
      <c r="C205" s="4" t="n">
        <f aca="false">B204</f>
        <v>0.0539</v>
      </c>
      <c r="D205" s="4" t="n">
        <f aca="false">B205-C205</f>
        <v>0</v>
      </c>
      <c r="H205" s="8" t="n">
        <f aca="false">G10+G9*C205</f>
        <v>8.78380279679205E-005</v>
      </c>
      <c r="I205" s="8" t="n">
        <f aca="false">D205-H205</f>
        <v>-8.78380279679205E-005</v>
      </c>
      <c r="J205" s="8" t="n">
        <f aca="false">C205+D205/(G12*G6)</f>
        <v>0.0539</v>
      </c>
      <c r="K205" s="4" t="n">
        <f aca="false">(A205-$A$2)/365</f>
        <v>0.835616438356164</v>
      </c>
      <c r="L205" s="8" t="n">
        <f aca="false">IFERROR(AVERAGE(J146:J205),"")</f>
        <v>0.0532213978362861</v>
      </c>
    </row>
    <row r="206" customFormat="false" ht="15" hidden="false" customHeight="false" outlineLevel="0" collapsed="false">
      <c r="A206" s="3" t="n">
        <v>45859</v>
      </c>
      <c r="B206" s="4" t="n">
        <f aca="false">0.0552</f>
        <v>0.0552</v>
      </c>
      <c r="C206" s="4" t="n">
        <f aca="false">B205</f>
        <v>0.0539</v>
      </c>
      <c r="D206" s="4" t="n">
        <f aca="false">B206-C206</f>
        <v>0.0013</v>
      </c>
      <c r="H206" s="8" t="n">
        <f aca="false">G10+G9*C206</f>
        <v>8.78380279679205E-005</v>
      </c>
      <c r="I206" s="8" t="n">
        <f aca="false">D206-H206</f>
        <v>0.00121216197203208</v>
      </c>
      <c r="J206" s="8" t="n">
        <f aca="false">C206+D206/(G12*G6)</f>
        <v>0.0923706506179814</v>
      </c>
      <c r="K206" s="4" t="n">
        <f aca="false">(A206-$A$2)/365</f>
        <v>0.843835616438356</v>
      </c>
      <c r="L206" s="8" t="n">
        <f aca="false">IFERROR(AVERAGE(J147:J206),"")</f>
        <v>0.0540075154146498</v>
      </c>
    </row>
    <row r="207" customFormat="false" ht="15" hidden="false" customHeight="false" outlineLevel="0" collapsed="false">
      <c r="A207" s="3" t="n">
        <v>45860</v>
      </c>
      <c r="B207" s="4" t="n">
        <f aca="false">0.0568</f>
        <v>0.0568</v>
      </c>
      <c r="C207" s="4" t="n">
        <f aca="false">B206</f>
        <v>0.0552</v>
      </c>
      <c r="D207" s="4" t="n">
        <f aca="false">B207-C207</f>
        <v>0.0016</v>
      </c>
      <c r="H207" s="8" t="n">
        <f aca="false">G10+G9*C207</f>
        <v>4.39084355941932E-005</v>
      </c>
      <c r="I207" s="8" t="n">
        <f aca="false">D207-H207</f>
        <v>0.0015560915644058</v>
      </c>
      <c r="J207" s="8" t="n">
        <f aca="false">C207+D207/(G12*G6)</f>
        <v>0.102548493068285</v>
      </c>
      <c r="K207" s="4" t="n">
        <f aca="false">(A207-$A$2)/365</f>
        <v>0.846575342465753</v>
      </c>
      <c r="L207" s="8" t="n">
        <f aca="false">IFERROR(AVERAGE(J148:J207),"")</f>
        <v>0.0547249902991212</v>
      </c>
    </row>
    <row r="208" customFormat="false" ht="15" hidden="false" customHeight="false" outlineLevel="0" collapsed="false">
      <c r="A208" s="3" t="n">
        <v>45861</v>
      </c>
      <c r="B208" s="4" t="n">
        <f aca="false">0.0582</f>
        <v>0.0582</v>
      </c>
      <c r="C208" s="4" t="n">
        <f aca="false">B207</f>
        <v>0.0568</v>
      </c>
      <c r="D208" s="4" t="n">
        <f aca="false">B208-C208</f>
        <v>0.00140000000000001</v>
      </c>
      <c r="H208" s="8" t="n">
        <f aca="false">G10+G9*C208</f>
        <v>-1.01587550196251E-005</v>
      </c>
      <c r="I208" s="8" t="n">
        <f aca="false">D208-H208</f>
        <v>0.00141015875501963</v>
      </c>
      <c r="J208" s="8" t="n">
        <f aca="false">C208+D208/(G12*G6)</f>
        <v>0.0982299314347492</v>
      </c>
      <c r="K208" s="4" t="n">
        <f aca="false">(A208-$A$2)/365</f>
        <v>0.849315068493151</v>
      </c>
      <c r="L208" s="8" t="n">
        <f aca="false">IFERROR(AVERAGE(J149:J208),"")</f>
        <v>0.055370489156367</v>
      </c>
    </row>
    <row r="209" customFormat="false" ht="15" hidden="false" customHeight="false" outlineLevel="0" collapsed="false">
      <c r="A209" s="3" t="n">
        <v>45862</v>
      </c>
      <c r="B209" s="4" t="n">
        <f aca="false">0.0563</f>
        <v>0.0563</v>
      </c>
      <c r="C209" s="4" t="n">
        <f aca="false">B208</f>
        <v>0.0582</v>
      </c>
      <c r="D209" s="4" t="n">
        <f aca="false">B209-C209</f>
        <v>-0.00190000000000001</v>
      </c>
      <c r="H209" s="8" t="n">
        <f aca="false">G10+G9*C209</f>
        <v>-5.74675468067163E-005</v>
      </c>
      <c r="I209" s="8" t="n">
        <f aca="false">D209-H209</f>
        <v>-0.00184253245319329</v>
      </c>
      <c r="J209" s="8" t="n">
        <f aca="false">C209+D209/(G12*G6)</f>
        <v>0.00197366448141178</v>
      </c>
      <c r="K209" s="4" t="n">
        <f aca="false">(A209-$A$2)/365</f>
        <v>0.852054794520548</v>
      </c>
      <c r="L209" s="8" t="n">
        <f aca="false">IFERROR(AVERAGE(J150:J209),"")</f>
        <v>0.05446103824467</v>
      </c>
    </row>
    <row r="210" customFormat="false" ht="15" hidden="false" customHeight="false" outlineLevel="0" collapsed="false">
      <c r="A210" s="3" t="n">
        <v>45863</v>
      </c>
      <c r="B210" s="4" t="n">
        <f aca="false">0.0544</f>
        <v>0.0544</v>
      </c>
      <c r="C210" s="4" t="n">
        <f aca="false">B209</f>
        <v>0.0563</v>
      </c>
      <c r="D210" s="4" t="n">
        <f aca="false">B210-C210</f>
        <v>-0.00189999999999999</v>
      </c>
      <c r="H210" s="8" t="n">
        <f aca="false">G10+G9*C210</f>
        <v>6.7372420471932E-006</v>
      </c>
      <c r="I210" s="8" t="n">
        <f aca="false">D210-H210</f>
        <v>-0.00190673724204719</v>
      </c>
      <c r="J210" s="8" t="n">
        <f aca="false">C210+D210/(G12*G6)</f>
        <v>7.3664481412189E-005</v>
      </c>
      <c r="K210" s="4" t="n">
        <f aca="false">(A210-$A$2)/365</f>
        <v>0.854794520547945</v>
      </c>
      <c r="L210" s="8" t="n">
        <f aca="false">IFERROR(AVERAGE(J151:J210),"")</f>
        <v>0.0531763379043501</v>
      </c>
    </row>
    <row r="211" customFormat="false" ht="15" hidden="false" customHeight="false" outlineLevel="0" collapsed="false">
      <c r="A211" s="3" t="n">
        <v>45866</v>
      </c>
      <c r="B211" s="4" t="n">
        <f aca="false">0.054</f>
        <v>0.054</v>
      </c>
      <c r="C211" s="4" t="n">
        <f aca="false">B210</f>
        <v>0.0544</v>
      </c>
      <c r="D211" s="4" t="n">
        <f aca="false">B211-C211</f>
        <v>-0.000399999999999998</v>
      </c>
      <c r="H211" s="8" t="n">
        <f aca="false">G10+G9*C211</f>
        <v>7.0942030901102E-005</v>
      </c>
      <c r="I211" s="8" t="n">
        <f aca="false">D211-H211</f>
        <v>-0.0004709420309011</v>
      </c>
      <c r="J211" s="8" t="n">
        <f aca="false">C211+D211/(G12*G6)</f>
        <v>0.0425628767329289</v>
      </c>
      <c r="K211" s="4" t="n">
        <f aca="false">(A211-$A$2)/365</f>
        <v>0.863013698630137</v>
      </c>
      <c r="L211" s="8" t="n">
        <f aca="false">IFERROR(AVERAGE(J152:J211),"")</f>
        <v>0.0531323259179629</v>
      </c>
    </row>
    <row r="212" customFormat="false" ht="15" hidden="false" customHeight="false" outlineLevel="0" collapsed="false">
      <c r="A212" s="3" t="n">
        <v>45867</v>
      </c>
      <c r="B212" s="4" t="n">
        <f aca="false">0.0545</f>
        <v>0.0545</v>
      </c>
      <c r="C212" s="4" t="n">
        <f aca="false">B211</f>
        <v>0.054</v>
      </c>
      <c r="D212" s="4" t="n">
        <f aca="false">B212-C212</f>
        <v>0.000499999999999994</v>
      </c>
      <c r="H212" s="8" t="n">
        <f aca="false">G10+G9*C212</f>
        <v>8.44588285545567E-005</v>
      </c>
      <c r="I212" s="8" t="n">
        <f aca="false">D212-H212</f>
        <v>0.000415541171445437</v>
      </c>
      <c r="J212" s="8" t="n">
        <f aca="false">C212+D212/(G12*G6)</f>
        <v>0.0687964040838388</v>
      </c>
      <c r="K212" s="4" t="n">
        <f aca="false">(A212-$A$2)/365</f>
        <v>0.865753424657534</v>
      </c>
      <c r="L212" s="8" t="n">
        <f aca="false">IFERROR(AVERAGE(J153:J212),"")</f>
        <v>0.053336587332973</v>
      </c>
    </row>
    <row r="213" customFormat="false" ht="15" hidden="false" customHeight="false" outlineLevel="0" collapsed="false">
      <c r="A213" s="3" t="n">
        <v>45868</v>
      </c>
      <c r="B213" s="4" t="n">
        <f aca="false">0.0542</f>
        <v>0.0542</v>
      </c>
      <c r="C213" s="4" t="n">
        <f aca="false">B212</f>
        <v>0.0545</v>
      </c>
      <c r="D213" s="4" t="n">
        <f aca="false">B213-C213</f>
        <v>-0.000300000000000002</v>
      </c>
      <c r="H213" s="8" t="n">
        <f aca="false">G10+G9*C213</f>
        <v>6.75628314877387E-005</v>
      </c>
      <c r="I213" s="8" t="n">
        <f aca="false">D213-H213</f>
        <v>-0.00036756283148774</v>
      </c>
      <c r="J213" s="8" t="n">
        <f aca="false">C213+D213/(G12*G6)</f>
        <v>0.0456221575496966</v>
      </c>
      <c r="K213" s="4" t="n">
        <f aca="false">(A213-$A$2)/365</f>
        <v>0.868493150684932</v>
      </c>
      <c r="L213" s="8" t="n">
        <f aca="false">IFERROR(AVERAGE(J154:J213),"")</f>
        <v>0.0533042420132524</v>
      </c>
    </row>
    <row r="214" customFormat="false" ht="15" hidden="false" customHeight="false" outlineLevel="0" collapsed="false">
      <c r="A214" s="3" t="n">
        <v>45869</v>
      </c>
      <c r="B214" s="4" t="n">
        <f aca="false">0.0554</f>
        <v>0.0554</v>
      </c>
      <c r="C214" s="4" t="n">
        <f aca="false">B213</f>
        <v>0.0542</v>
      </c>
      <c r="D214" s="4" t="n">
        <f aca="false">B214-C214</f>
        <v>0.0012</v>
      </c>
      <c r="H214" s="8" t="n">
        <f aca="false">G10+G9*C214</f>
        <v>7.77004297278297E-005</v>
      </c>
      <c r="I214" s="8" t="n">
        <f aca="false">D214-H214</f>
        <v>0.00112229957027217</v>
      </c>
      <c r="J214" s="8" t="n">
        <f aca="false">C214+D214/(G12*G6)</f>
        <v>0.0897113698012135</v>
      </c>
      <c r="K214" s="4" t="n">
        <f aca="false">(A214-$A$2)/365</f>
        <v>0.871232876712329</v>
      </c>
      <c r="L214" s="8" t="n">
        <f aca="false">IFERROR(AVERAGE(J155:J214),"")</f>
        <v>0.053816098176606</v>
      </c>
    </row>
    <row r="215" customFormat="false" ht="15" hidden="false" customHeight="false" outlineLevel="0" collapsed="false">
      <c r="A215" s="3" t="n">
        <v>45870</v>
      </c>
      <c r="B215" s="4" t="n">
        <f aca="false">0.055</f>
        <v>0.055</v>
      </c>
      <c r="C215" s="4" t="n">
        <f aca="false">B214</f>
        <v>0.0554</v>
      </c>
      <c r="D215" s="4" t="n">
        <f aca="false">B215-C215</f>
        <v>-0.000399999999999998</v>
      </c>
      <c r="H215" s="8" t="n">
        <f aca="false">G10+G9*C215</f>
        <v>3.71500367674659E-005</v>
      </c>
      <c r="I215" s="8" t="n">
        <f aca="false">D215-H215</f>
        <v>-0.000437150036767464</v>
      </c>
      <c r="J215" s="8" t="n">
        <f aca="false">C215+D215/(G12*G6)</f>
        <v>0.0435628767329289</v>
      </c>
      <c r="K215" s="4" t="n">
        <f aca="false">(A215-$A$2)/365</f>
        <v>0.873972602739726</v>
      </c>
      <c r="L215" s="8" t="n">
        <f aca="false">IFERROR(AVERAGE(J156:J215),"")</f>
        <v>0.0535588127888215</v>
      </c>
    </row>
    <row r="216" customFormat="false" ht="15" hidden="false" customHeight="false" outlineLevel="0" collapsed="false">
      <c r="A216" s="3" t="n">
        <v>45873</v>
      </c>
      <c r="B216" s="4" t="n">
        <f aca="false">0.0543</f>
        <v>0.0543</v>
      </c>
      <c r="C216" s="4" t="n">
        <f aca="false">B215</f>
        <v>0.055</v>
      </c>
      <c r="D216" s="4" t="n">
        <f aca="false">B216-C216</f>
        <v>-0.000700000000000006</v>
      </c>
      <c r="H216" s="8" t="n">
        <f aca="false">G10+G9*C216</f>
        <v>5.06668344209204E-005</v>
      </c>
      <c r="I216" s="8" t="n">
        <f aca="false">D216-H216</f>
        <v>-0.000750666834420927</v>
      </c>
      <c r="J216" s="8" t="n">
        <f aca="false">C216+D216/(G12*G6)</f>
        <v>0.0342850342826253</v>
      </c>
      <c r="K216" s="4" t="n">
        <f aca="false">(A216-$A$2)/365</f>
        <v>0.882191780821918</v>
      </c>
      <c r="L216" s="8" t="n">
        <f aca="false">IFERROR(AVERAGE(J157:J216),"")</f>
        <v>0.0531468966935319</v>
      </c>
    </row>
    <row r="217" customFormat="false" ht="15" hidden="false" customHeight="false" outlineLevel="0" collapsed="false">
      <c r="A217" s="3" t="n">
        <v>45874</v>
      </c>
      <c r="B217" s="4" t="n">
        <f aca="false">0.0541</f>
        <v>0.0541</v>
      </c>
      <c r="C217" s="4" t="n">
        <f aca="false">B216</f>
        <v>0.0543</v>
      </c>
      <c r="D217" s="4" t="n">
        <f aca="false">B217-C217</f>
        <v>-0.000199999999999992</v>
      </c>
      <c r="H217" s="8" t="n">
        <f aca="false">G10+G9*C217</f>
        <v>7.43212303144661E-005</v>
      </c>
      <c r="I217" s="8" t="n">
        <f aca="false">D217-H217</f>
        <v>-0.000274321230314458</v>
      </c>
      <c r="J217" s="8" t="n">
        <f aca="false">C217+D217/(G12*G6)</f>
        <v>0.0483814383664647</v>
      </c>
      <c r="K217" s="4" t="n">
        <f aca="false">(A217-$A$2)/365</f>
        <v>0.884931506849315</v>
      </c>
      <c r="L217" s="8" t="n">
        <f aca="false">IFERROR(AVERAGE(J158:J217),"")</f>
        <v>0.0529699206663063</v>
      </c>
    </row>
    <row r="218" customFormat="false" ht="15" hidden="false" customHeight="false" outlineLevel="0" collapsed="false">
      <c r="A218" s="3" t="n">
        <v>45875</v>
      </c>
      <c r="B218" s="4" t="n">
        <f aca="false">0.0537</f>
        <v>0.0537</v>
      </c>
      <c r="C218" s="4" t="n">
        <f aca="false">B217</f>
        <v>0.0541</v>
      </c>
      <c r="D218" s="4" t="n">
        <f aca="false">B218-C218</f>
        <v>-0.000400000000000005</v>
      </c>
      <c r="H218" s="8" t="n">
        <f aca="false">G10+G9*C218</f>
        <v>8.10796291411931E-005</v>
      </c>
      <c r="I218" s="8" t="n">
        <f aca="false">D218-H218</f>
        <v>-0.000481079629141198</v>
      </c>
      <c r="J218" s="8" t="n">
        <f aca="false">C218+D218/(G12*G6)</f>
        <v>0.0422628767329287</v>
      </c>
      <c r="K218" s="4" t="n">
        <f aca="false">(A218-$A$2)/365</f>
        <v>0.887671232876712</v>
      </c>
      <c r="L218" s="8" t="n">
        <f aca="false">IFERROR(AVERAGE(J159:J218),"")</f>
        <v>0.0526909686118551</v>
      </c>
    </row>
    <row r="219" customFormat="false" ht="15" hidden="false" customHeight="false" outlineLevel="0" collapsed="false">
      <c r="A219" s="3" t="n">
        <v>45876</v>
      </c>
      <c r="B219" s="4" t="n">
        <f aca="false">0.0539</f>
        <v>0.0539</v>
      </c>
      <c r="C219" s="4" t="n">
        <f aca="false">B218</f>
        <v>0.0537</v>
      </c>
      <c r="D219" s="4" t="n">
        <f aca="false">B219-C219</f>
        <v>0.000199999999999999</v>
      </c>
      <c r="H219" s="8" t="n">
        <f aca="false">G10+G9*C219</f>
        <v>9.45964267946478E-005</v>
      </c>
      <c r="I219" s="8" t="n">
        <f aca="false">D219-H219</f>
        <v>0.000105403573205351</v>
      </c>
      <c r="J219" s="8" t="n">
        <f aca="false">C219+D219/(G12*G6)</f>
        <v>0.0596185616335355</v>
      </c>
      <c r="K219" s="4" t="n">
        <f aca="false">(A219-$A$2)/365</f>
        <v>0.89041095890411</v>
      </c>
      <c r="L219" s="8" t="n">
        <f aca="false">IFERROR(AVERAGE(J160:J219),"")</f>
        <v>0.052701277972414</v>
      </c>
    </row>
    <row r="220" customFormat="false" ht="15" hidden="false" customHeight="false" outlineLevel="0" collapsed="false">
      <c r="A220" s="3" t="n">
        <v>45877</v>
      </c>
      <c r="B220" s="4" t="n">
        <f aca="false">0.0563</f>
        <v>0.0563</v>
      </c>
      <c r="C220" s="4" t="n">
        <f aca="false">B219</f>
        <v>0.0539</v>
      </c>
      <c r="D220" s="4" t="n">
        <f aca="false">B220-C220</f>
        <v>0.0024</v>
      </c>
      <c r="H220" s="8" t="n">
        <f aca="false">G10+G9*C220</f>
        <v>8.78380279679205E-005</v>
      </c>
      <c r="I220" s="8" t="n">
        <f aca="false">D220-H220</f>
        <v>0.00231216197203208</v>
      </c>
      <c r="J220" s="8" t="n">
        <f aca="false">C220+D220/(G12*G6)</f>
        <v>0.124922739602427</v>
      </c>
      <c r="K220" s="4" t="n">
        <f aca="false">(A220-$A$2)/365</f>
        <v>0.893150684931507</v>
      </c>
      <c r="L220" s="8" t="n">
        <f aca="false">IFERROR(AVERAGE(J161:J220),"")</f>
        <v>0.0538493116460673</v>
      </c>
    </row>
    <row r="221" customFormat="false" ht="15" hidden="false" customHeight="false" outlineLevel="0" collapsed="false">
      <c r="A221" s="3" t="n">
        <v>45880</v>
      </c>
      <c r="B221" s="4" t="n">
        <f aca="false">0.0541</f>
        <v>0.0541</v>
      </c>
      <c r="C221" s="4" t="n">
        <f aca="false">B220</f>
        <v>0.0563</v>
      </c>
      <c r="D221" s="4" t="n">
        <f aca="false">B221-C221</f>
        <v>-0.00219999999999999</v>
      </c>
      <c r="H221" s="8" t="n">
        <f aca="false">G10+G9*C221</f>
        <v>6.7372420471932E-006</v>
      </c>
      <c r="I221" s="8" t="n">
        <f aca="false">D221-H221</f>
        <v>-0.00220673724204719</v>
      </c>
      <c r="J221" s="8" t="n">
        <f aca="false">C221+D221/(G12*G6)</f>
        <v>-0.00880417796889123</v>
      </c>
      <c r="K221" s="4" t="n">
        <f aca="false">(A221-$A$2)/365</f>
        <v>0.901369863013699</v>
      </c>
      <c r="L221" s="8" t="n">
        <f aca="false">IFERROR(AVERAGE(J162:J221),"")</f>
        <v>0.0528688727207575</v>
      </c>
    </row>
    <row r="222" customFormat="false" ht="15" hidden="false" customHeight="false" outlineLevel="0" collapsed="false">
      <c r="A222" s="3" t="n">
        <v>45881</v>
      </c>
      <c r="B222" s="4" t="n">
        <f aca="false">0.055</f>
        <v>0.055</v>
      </c>
      <c r="C222" s="4" t="n">
        <f aca="false">B221</f>
        <v>0.0541</v>
      </c>
      <c r="D222" s="4" t="n">
        <f aca="false">B222-C222</f>
        <v>0.000899999999999998</v>
      </c>
      <c r="H222" s="8" t="n">
        <f aca="false">G10+G9*C222</f>
        <v>8.10796291411931E-005</v>
      </c>
      <c r="I222" s="8" t="n">
        <f aca="false">D222-H222</f>
        <v>0.000818920370858805</v>
      </c>
      <c r="J222" s="8" t="n">
        <f aca="false">C222+D222/(G12*G6)</f>
        <v>0.0807335273509101</v>
      </c>
      <c r="K222" s="4" t="n">
        <f aca="false">(A222-$A$2)/365</f>
        <v>0.904109589041096</v>
      </c>
      <c r="L222" s="8" t="n">
        <f aca="false">IFERROR(AVERAGE(J163:J222),"")</f>
        <v>0.0532870861902188</v>
      </c>
    </row>
    <row r="223" customFormat="false" ht="15" hidden="false" customHeight="false" outlineLevel="0" collapsed="false">
      <c r="A223" s="3" t="n">
        <v>45882</v>
      </c>
      <c r="B223" s="4" t="n">
        <f aca="false">0.0552</f>
        <v>0.0552</v>
      </c>
      <c r="C223" s="4" t="n">
        <f aca="false">B222</f>
        <v>0.055</v>
      </c>
      <c r="D223" s="4" t="n">
        <f aca="false">B223-C223</f>
        <v>0.000199999999999999</v>
      </c>
      <c r="H223" s="8" t="n">
        <f aca="false">G10+G9*C223</f>
        <v>5.06668344209204E-005</v>
      </c>
      <c r="I223" s="8" t="n">
        <f aca="false">D223-H223</f>
        <v>0.000149333165579078</v>
      </c>
      <c r="J223" s="8" t="n">
        <f aca="false">C223+D223/(G12*G6)</f>
        <v>0.0609185616335355</v>
      </c>
      <c r="K223" s="4" t="n">
        <f aca="false">(A223-$A$2)/365</f>
        <v>0.906849315068493</v>
      </c>
      <c r="L223" s="8" t="n">
        <f aca="false">IFERROR(AVERAGE(J164:J223),"")</f>
        <v>0.0533273955507777</v>
      </c>
    </row>
    <row r="224" customFormat="false" ht="15" hidden="false" customHeight="false" outlineLevel="0" collapsed="false">
      <c r="A224" s="3" t="n">
        <v>45883</v>
      </c>
      <c r="B224" s="4" t="n">
        <f aca="false">0.0553</f>
        <v>0.0553</v>
      </c>
      <c r="C224" s="4" t="n">
        <f aca="false">B223</f>
        <v>0.0552</v>
      </c>
      <c r="D224" s="4" t="n">
        <f aca="false">B224-C224</f>
        <v>0.000100000000000003</v>
      </c>
      <c r="H224" s="8" t="n">
        <f aca="false">G10+G9*C224</f>
        <v>4.39084355941932E-005</v>
      </c>
      <c r="I224" s="8" t="n">
        <f aca="false">D224-H224</f>
        <v>5.60915644058097E-005</v>
      </c>
      <c r="J224" s="8" t="n">
        <f aca="false">C224+D224/(G12*G6)</f>
        <v>0.0581592808167679</v>
      </c>
      <c r="K224" s="4" t="n">
        <f aca="false">(A224-$A$2)/365</f>
        <v>0.90958904109589</v>
      </c>
      <c r="L224" s="8" t="n">
        <f aca="false">IFERROR(AVERAGE(J165:J224),"")</f>
        <v>0.0530751101629932</v>
      </c>
    </row>
    <row r="225" customFormat="false" ht="15" hidden="false" customHeight="false" outlineLevel="0" collapsed="false">
      <c r="A225" s="3" t="n">
        <v>45887</v>
      </c>
      <c r="B225" s="4" t="n">
        <f aca="false">0.0545</f>
        <v>0.0545</v>
      </c>
      <c r="C225" s="4" t="n">
        <f aca="false">B224</f>
        <v>0.0553</v>
      </c>
      <c r="D225" s="4" t="n">
        <f aca="false">B225-C225</f>
        <v>-0.000800000000000002</v>
      </c>
      <c r="H225" s="8" t="n">
        <f aca="false">G10+G9*C225</f>
        <v>4.05292361808293E-005</v>
      </c>
      <c r="I225" s="8" t="n">
        <f aca="false">D225-H225</f>
        <v>-0.000840529236180831</v>
      </c>
      <c r="J225" s="8" t="n">
        <f aca="false">C225+D225/(G12*G6)</f>
        <v>0.0316257534658576</v>
      </c>
      <c r="K225" s="4" t="n">
        <f aca="false">(A225-$A$2)/365</f>
        <v>0.920547945205479</v>
      </c>
      <c r="L225" s="8" t="n">
        <f aca="false">IFERROR(AVERAGE(J166:J225),"")</f>
        <v>0.0526188727207575</v>
      </c>
    </row>
    <row r="226" customFormat="false" ht="15" hidden="false" customHeight="false" outlineLevel="0" collapsed="false">
      <c r="A226" s="3" t="n">
        <v>45888</v>
      </c>
      <c r="B226" s="4" t="n">
        <f aca="false">0.0548</f>
        <v>0.0548</v>
      </c>
      <c r="C226" s="4" t="n">
        <f aca="false">B225</f>
        <v>0.0545</v>
      </c>
      <c r="D226" s="4" t="n">
        <f aca="false">B226-C226</f>
        <v>0.000300000000000002</v>
      </c>
      <c r="H226" s="8" t="n">
        <f aca="false">G10+G9*C226</f>
        <v>6.75628314877387E-005</v>
      </c>
      <c r="I226" s="8" t="n">
        <f aca="false">D226-H226</f>
        <v>0.000232437168512263</v>
      </c>
      <c r="J226" s="8" t="n">
        <f aca="false">C226+D226/(G12*G6)</f>
        <v>0.0633778424503034</v>
      </c>
      <c r="K226" s="4" t="n">
        <f aca="false">(A226-$A$2)/365</f>
        <v>0.923287671232877</v>
      </c>
      <c r="L226" s="8" t="n">
        <f aca="false">IFERROR(AVERAGE(J167:J226),"")</f>
        <v>0.0529384434963265</v>
      </c>
    </row>
    <row r="227" customFormat="false" ht="15" hidden="false" customHeight="false" outlineLevel="0" collapsed="false">
      <c r="A227" s="3" t="n">
        <v>45889</v>
      </c>
      <c r="B227" s="4" t="n">
        <f aca="false">0.0552</f>
        <v>0.0552</v>
      </c>
      <c r="C227" s="4" t="n">
        <f aca="false">B226</f>
        <v>0.0548</v>
      </c>
      <c r="D227" s="4" t="n">
        <f aca="false">B227-C227</f>
        <v>0.000399999999999998</v>
      </c>
      <c r="H227" s="8" t="n">
        <f aca="false">G10+G9*C227</f>
        <v>5.74252332476476E-005</v>
      </c>
      <c r="I227" s="8" t="n">
        <f aca="false">D227-H227</f>
        <v>0.00034257476675235</v>
      </c>
      <c r="J227" s="8" t="n">
        <f aca="false">C227+D227/(G12*G6)</f>
        <v>0.0666371232670711</v>
      </c>
      <c r="K227" s="4" t="n">
        <f aca="false">(A227-$A$2)/365</f>
        <v>0.926027397260274</v>
      </c>
      <c r="L227" s="8" t="n">
        <f aca="false">IFERROR(AVERAGE(J168:J227),"")</f>
        <v>0.0530740622174444</v>
      </c>
    </row>
    <row r="228" customFormat="false" ht="15" hidden="false" customHeight="false" outlineLevel="0" collapsed="false">
      <c r="A228" s="3" t="n">
        <v>45890</v>
      </c>
      <c r="B228" s="4" t="n">
        <f aca="false">0.0555</f>
        <v>0.0555</v>
      </c>
      <c r="C228" s="4" t="n">
        <f aca="false">B227</f>
        <v>0.0552</v>
      </c>
      <c r="D228" s="4" t="n">
        <f aca="false">B228-C228</f>
        <v>0.000300000000000002</v>
      </c>
      <c r="H228" s="8" t="n">
        <f aca="false">G10+G9*C228</f>
        <v>4.39084355941932E-005</v>
      </c>
      <c r="I228" s="8" t="n">
        <f aca="false">D228-H228</f>
        <v>0.000256091564405809</v>
      </c>
      <c r="J228" s="8" t="n">
        <f aca="false">C228+D228/(G12*G6)</f>
        <v>0.0640778424503034</v>
      </c>
      <c r="K228" s="4" t="n">
        <f aca="false">(A228-$A$2)/365</f>
        <v>0.928767123287671</v>
      </c>
      <c r="L228" s="8" t="n">
        <f aca="false">IFERROR(AVERAGE(J169:J228),"")</f>
        <v>0.0532163476052289</v>
      </c>
    </row>
    <row r="229" customFormat="false" ht="15" hidden="false" customHeight="false" outlineLevel="0" collapsed="false">
      <c r="A229" s="3" t="n">
        <v>45891</v>
      </c>
      <c r="B229" s="4" t="n">
        <f aca="false">0.0557</f>
        <v>0.0557</v>
      </c>
      <c r="C229" s="4" t="n">
        <f aca="false">B228</f>
        <v>0.0555</v>
      </c>
      <c r="D229" s="4" t="n">
        <f aca="false">B229-C229</f>
        <v>0.000199999999999999</v>
      </c>
      <c r="H229" s="8" t="n">
        <f aca="false">G10+G9*C229</f>
        <v>3.37708373541021E-005</v>
      </c>
      <c r="I229" s="8" t="n">
        <f aca="false">D229-H229</f>
        <v>0.000166229162645897</v>
      </c>
      <c r="J229" s="8" t="n">
        <f aca="false">C229+D229/(G12*G6)</f>
        <v>0.0614185616335356</v>
      </c>
      <c r="K229" s="4" t="n">
        <f aca="false">(A229-$A$2)/365</f>
        <v>0.931506849315068</v>
      </c>
      <c r="L229" s="8" t="n">
        <f aca="false">IFERROR(AVERAGE(J170:J229),"")</f>
        <v>0.0533652996596801</v>
      </c>
    </row>
    <row r="230" customFormat="false" ht="15" hidden="false" customHeight="false" outlineLevel="0" collapsed="false">
      <c r="A230" s="3" t="n">
        <v>45894</v>
      </c>
      <c r="B230" s="4" t="n">
        <f aca="false">0.0548</f>
        <v>0.0548</v>
      </c>
      <c r="C230" s="4" t="n">
        <f aca="false">B229</f>
        <v>0.0557</v>
      </c>
      <c r="D230" s="4" t="n">
        <f aca="false">B230-C230</f>
        <v>-0.000899999999999998</v>
      </c>
      <c r="H230" s="8" t="n">
        <f aca="false">G10+G9*C230</f>
        <v>2.70124385273749E-005</v>
      </c>
      <c r="I230" s="8" t="n">
        <f aca="false">D230-H230</f>
        <v>-0.000927012438527373</v>
      </c>
      <c r="J230" s="8" t="n">
        <f aca="false">C230+D230/(G12*G6)</f>
        <v>0.0290664726490899</v>
      </c>
      <c r="K230" s="4" t="n">
        <f aca="false">(A230-$A$2)/365</f>
        <v>0.93972602739726</v>
      </c>
      <c r="L230" s="8" t="n">
        <f aca="false">IFERROR(AVERAGE(J171:J230),"")</f>
        <v>0.0526824554827137</v>
      </c>
    </row>
    <row r="231" customFormat="false" ht="15" hidden="false" customHeight="false" outlineLevel="0" collapsed="false">
      <c r="A231" s="3" t="n">
        <v>45895</v>
      </c>
      <c r="B231" s="4" t="n">
        <f aca="false">0.0549</f>
        <v>0.0549</v>
      </c>
      <c r="C231" s="4" t="n">
        <f aca="false">B230</f>
        <v>0.0548</v>
      </c>
      <c r="D231" s="4" t="n">
        <f aca="false">B231-C231</f>
        <v>0.000100000000000003</v>
      </c>
      <c r="H231" s="8" t="n">
        <f aca="false">G10+G9*C231</f>
        <v>5.74252332476476E-005</v>
      </c>
      <c r="I231" s="8" t="n">
        <f aca="false">D231-H231</f>
        <v>4.25747667523553E-005</v>
      </c>
      <c r="J231" s="8" t="n">
        <f aca="false">C231+D231/(G12*G6)</f>
        <v>0.0577592808167679</v>
      </c>
      <c r="K231" s="4" t="n">
        <f aca="false">(A231-$A$2)/365</f>
        <v>0.942465753424658</v>
      </c>
      <c r="L231" s="8" t="n">
        <f aca="false">IFERROR(AVERAGE(J172:J231),"")</f>
        <v>0.0527670861902188</v>
      </c>
    </row>
    <row r="232" customFormat="false" ht="15" hidden="false" customHeight="false" outlineLevel="0" collapsed="false">
      <c r="A232" s="3" t="n">
        <v>45897</v>
      </c>
      <c r="B232" s="4" t="n">
        <f aca="false">0.0552</f>
        <v>0.0552</v>
      </c>
      <c r="C232" s="4" t="n">
        <f aca="false">B231</f>
        <v>0.0549</v>
      </c>
      <c r="D232" s="4" t="n">
        <f aca="false">B232-C232</f>
        <v>0.000299999999999995</v>
      </c>
      <c r="H232" s="8" t="n">
        <f aca="false">G10+G9*C232</f>
        <v>5.4046033834284E-005</v>
      </c>
      <c r="I232" s="8" t="n">
        <f aca="false">D232-H232</f>
        <v>0.000245953966165711</v>
      </c>
      <c r="J232" s="8" t="n">
        <f aca="false">C232+D232/(G12*G6)</f>
        <v>0.0637778424503032</v>
      </c>
      <c r="K232" s="4" t="n">
        <f aca="false">(A232-$A$2)/365</f>
        <v>0.947945205479452</v>
      </c>
      <c r="L232" s="8" t="n">
        <f aca="false">IFERROR(AVERAGE(J173:J232),"")</f>
        <v>0.0529553595916161</v>
      </c>
    </row>
    <row r="233" customFormat="false" ht="15" hidden="false" customHeight="false" outlineLevel="0" collapsed="false">
      <c r="A233" s="3" t="n">
        <v>45898</v>
      </c>
      <c r="B233" s="4" t="n">
        <f aca="false">0.0554</f>
        <v>0.0554</v>
      </c>
      <c r="C233" s="4" t="n">
        <f aca="false">B232</f>
        <v>0.0552</v>
      </c>
      <c r="D233" s="4" t="n">
        <f aca="false">B233-C233</f>
        <v>0.000199999999999999</v>
      </c>
      <c r="H233" s="8" t="n">
        <f aca="false">G10+G9*C233</f>
        <v>4.39084355941932E-005</v>
      </c>
      <c r="I233" s="8" t="n">
        <f aca="false">D233-H233</f>
        <v>0.000156091564405806</v>
      </c>
      <c r="J233" s="8" t="n">
        <f aca="false">C233+D233/(G12*G6)</f>
        <v>0.0611185616335355</v>
      </c>
      <c r="K233" s="4" t="n">
        <f aca="false">(A233-$A$2)/365</f>
        <v>0.950684931506849</v>
      </c>
      <c r="L233" s="8" t="n">
        <f aca="false">IFERROR(AVERAGE(J174:J233),"")</f>
        <v>0.0531026449794006</v>
      </c>
    </row>
    <row r="234" customFormat="false" ht="15" hidden="false" customHeight="false" outlineLevel="0" collapsed="false">
      <c r="A234" s="3" t="n">
        <v>45901</v>
      </c>
      <c r="B234" s="4" t="n">
        <f aca="false">0.0549</f>
        <v>0.0549</v>
      </c>
      <c r="C234" s="4" t="n">
        <f aca="false">B233</f>
        <v>0.0554</v>
      </c>
      <c r="D234" s="4" t="n">
        <f aca="false">B234-C234</f>
        <v>-0.000499999999999994</v>
      </c>
      <c r="H234" s="8" t="n">
        <f aca="false">G10+G9*C234</f>
        <v>3.71500367674659E-005</v>
      </c>
      <c r="I234" s="8" t="n">
        <f aca="false">D234-H234</f>
        <v>-0.000537150036767459</v>
      </c>
      <c r="J234" s="8" t="n">
        <f aca="false">C234+D234/(G12*G6)</f>
        <v>0.0406035959161612</v>
      </c>
      <c r="K234" s="4" t="n">
        <f aca="false">(A234-$A$2)/365</f>
        <v>0.958904109589041</v>
      </c>
      <c r="L234" s="8" t="n">
        <f aca="false">IFERROR(AVERAGE(J175:J234),"")</f>
        <v>0.0528127049113366</v>
      </c>
    </row>
    <row r="235" customFormat="false" ht="15" hidden="false" customHeight="false" outlineLevel="0" collapsed="false">
      <c r="A235" s="3" t="n">
        <v>45902</v>
      </c>
      <c r="B235" s="4" t="n">
        <f aca="false">0.0544</f>
        <v>0.0544</v>
      </c>
      <c r="C235" s="4" t="n">
        <f aca="false">B234</f>
        <v>0.0549</v>
      </c>
      <c r="D235" s="4" t="n">
        <f aca="false">B235-C235</f>
        <v>-0.0005</v>
      </c>
      <c r="H235" s="8" t="n">
        <f aca="false">G10+G9*C235</f>
        <v>5.4046033834284E-005</v>
      </c>
      <c r="I235" s="8" t="n">
        <f aca="false">D235-H235</f>
        <v>-0.000554046033834284</v>
      </c>
      <c r="J235" s="8" t="n">
        <f aca="false">C235+D235/(G12*G6)</f>
        <v>0.040103595916161</v>
      </c>
      <c r="K235" s="4" t="n">
        <f aca="false">(A235-$A$2)/365</f>
        <v>0.961643835616438</v>
      </c>
      <c r="L235" s="8" t="n">
        <f aca="false">IFERROR(AVERAGE(J176:J235),"")</f>
        <v>0.0539940719183232</v>
      </c>
    </row>
    <row r="236" customFormat="false" ht="15" hidden="false" customHeight="false" outlineLevel="0" collapsed="false">
      <c r="A236" s="3" t="n">
        <v>45903</v>
      </c>
      <c r="B236" s="4" t="n">
        <f aca="false">0.0539</f>
        <v>0.0539</v>
      </c>
      <c r="C236" s="4" t="n">
        <f aca="false">B235</f>
        <v>0.0544</v>
      </c>
      <c r="D236" s="4" t="n">
        <f aca="false">B236-C236</f>
        <v>-0.000500000000000007</v>
      </c>
      <c r="H236" s="8" t="n">
        <f aca="false">G10+G9*C236</f>
        <v>7.0942030901102E-005</v>
      </c>
      <c r="I236" s="8" t="n">
        <f aca="false">D236-H236</f>
        <v>-0.000570942030901109</v>
      </c>
      <c r="J236" s="8" t="n">
        <f aca="false">C236+D236/(G12*G6)</f>
        <v>0.0396035959161608</v>
      </c>
      <c r="K236" s="4" t="n">
        <f aca="false">(A236-$A$2)/365</f>
        <v>0.964383561643836</v>
      </c>
      <c r="L236" s="8" t="n">
        <f aca="false">IFERROR(AVERAGE(J177:J236),"")</f>
        <v>0.0544772853877845</v>
      </c>
    </row>
    <row r="237" customFormat="false" ht="15" hidden="false" customHeight="false" outlineLevel="0" collapsed="false">
      <c r="A237" s="3" t="n">
        <v>45904</v>
      </c>
      <c r="B237" s="4" t="n">
        <f aca="false">0.054</f>
        <v>0.054</v>
      </c>
      <c r="C237" s="4" t="n">
        <f aca="false">B236</f>
        <v>0.0539</v>
      </c>
      <c r="D237" s="4" t="n">
        <f aca="false">B237-C237</f>
        <v>0.00010000000000001</v>
      </c>
      <c r="H237" s="8" t="n">
        <f aca="false">G10+G9*C237</f>
        <v>8.78380279679205E-005</v>
      </c>
      <c r="I237" s="8" t="n">
        <f aca="false">D237-H237</f>
        <v>1.21619720320893E-005</v>
      </c>
      <c r="J237" s="8" t="n">
        <f aca="false">C237+D237/(G12*G6)</f>
        <v>0.0568592808167681</v>
      </c>
      <c r="K237" s="4" t="n">
        <f aca="false">(A237-$A$2)/365</f>
        <v>0.967123287671233</v>
      </c>
      <c r="L237" s="8" t="n">
        <f aca="false">IFERROR(AVERAGE(J178:J237),"")</f>
        <v>0.0545332734013973</v>
      </c>
    </row>
    <row r="238" customFormat="false" ht="15" hidden="false" customHeight="false" outlineLevel="0" collapsed="false">
      <c r="A238" s="3" t="n">
        <v>45905</v>
      </c>
      <c r="B238" s="4" t="n">
        <f aca="false">0.054</f>
        <v>0.054</v>
      </c>
      <c r="C238" s="4" t="n">
        <f aca="false">B237</f>
        <v>0.054</v>
      </c>
      <c r="D238" s="4" t="n">
        <f aca="false">B238-C238</f>
        <v>0</v>
      </c>
      <c r="H238" s="8" t="n">
        <f aca="false">G10+G9*C238</f>
        <v>8.44588285545567E-005</v>
      </c>
      <c r="I238" s="8" t="n">
        <f aca="false">D238-H238</f>
        <v>-8.44588285545567E-005</v>
      </c>
      <c r="J238" s="8" t="n">
        <f aca="false">C238+D238/(G12*G6)</f>
        <v>0.054</v>
      </c>
      <c r="K238" s="4" t="n">
        <f aca="false">(A238-$A$2)/365</f>
        <v>0.96986301369863</v>
      </c>
      <c r="L238" s="8" t="n">
        <f aca="false">IFERROR(AVERAGE(J179:J238),"")</f>
        <v>0.0545416067347307</v>
      </c>
    </row>
    <row r="239" customFormat="false" ht="15" hidden="false" customHeight="false" outlineLevel="0" collapsed="false">
      <c r="A239" s="3" t="n">
        <v>45909</v>
      </c>
      <c r="B239" s="4" t="n">
        <f aca="false">0.0539</f>
        <v>0.0539</v>
      </c>
      <c r="C239" s="4" t="n">
        <f aca="false">B238</f>
        <v>0.054</v>
      </c>
      <c r="D239" s="4" t="n">
        <f aca="false">B239-C239</f>
        <v>-0.00010000000000001</v>
      </c>
      <c r="H239" s="8" t="n">
        <f aca="false">G10+G9*C239</f>
        <v>8.44588285545567E-005</v>
      </c>
      <c r="I239" s="8" t="n">
        <f aca="false">D239-H239</f>
        <v>-0.000184458828554567</v>
      </c>
      <c r="J239" s="8" t="n">
        <f aca="false">C239+D239/(G12*G6)</f>
        <v>0.0510407191832319</v>
      </c>
      <c r="K239" s="4" t="n">
        <f aca="false">(A239-$A$2)/365</f>
        <v>0.980821917808219</v>
      </c>
      <c r="L239" s="8" t="n">
        <f aca="false">IFERROR(AVERAGE(J180:J239),"")</f>
        <v>0.054549940068064</v>
      </c>
    </row>
    <row r="240" customFormat="false" ht="15" hidden="false" customHeight="false" outlineLevel="0" collapsed="false">
      <c r="A240" s="3" t="n">
        <v>45910</v>
      </c>
      <c r="B240" s="4" t="n">
        <f aca="false">0.0539</f>
        <v>0.0539</v>
      </c>
      <c r="C240" s="4" t="n">
        <f aca="false">B239</f>
        <v>0.0539</v>
      </c>
      <c r="D240" s="4" t="n">
        <f aca="false">B240-C240</f>
        <v>0</v>
      </c>
      <c r="H240" s="8" t="n">
        <f aca="false">G10+G9*C240</f>
        <v>8.78380279679205E-005</v>
      </c>
      <c r="I240" s="8" t="n">
        <f aca="false">D240-H240</f>
        <v>-8.78380279679205E-005</v>
      </c>
      <c r="J240" s="8" t="n">
        <f aca="false">C240+D240/(G12*G6)</f>
        <v>0.0539</v>
      </c>
      <c r="K240" s="4" t="n">
        <f aca="false">(A240-$A$2)/365</f>
        <v>0.983561643835616</v>
      </c>
      <c r="L240" s="8" t="n">
        <f aca="false">IFERROR(AVERAGE(J181:J240),"")</f>
        <v>0.0545089520544512</v>
      </c>
    </row>
    <row r="241" customFormat="false" ht="15" hidden="false" customHeight="false" outlineLevel="0" collapsed="false">
      <c r="A241" s="3" t="n">
        <v>45911</v>
      </c>
      <c r="B241" s="4" t="n">
        <f aca="false">0.0539</f>
        <v>0.0539</v>
      </c>
      <c r="C241" s="4" t="n">
        <f aca="false">B240</f>
        <v>0.0539</v>
      </c>
      <c r="D241" s="4" t="n">
        <f aca="false">B241-C241</f>
        <v>0</v>
      </c>
      <c r="H241" s="8" t="n">
        <f aca="false">G10+G9*C241</f>
        <v>8.78380279679205E-005</v>
      </c>
      <c r="I241" s="8" t="n">
        <f aca="false">D241-H241</f>
        <v>-8.78380279679205E-005</v>
      </c>
      <c r="J241" s="8" t="n">
        <f aca="false">C241+D241/(G12*G6)</f>
        <v>0.0539</v>
      </c>
      <c r="K241" s="4" t="n">
        <f aca="false">(A241-$A$2)/365</f>
        <v>0.986301369863014</v>
      </c>
      <c r="L241" s="8" t="n">
        <f aca="false">IFERROR(AVERAGE(J182:J241),"")</f>
        <v>0.0545156187211179</v>
      </c>
    </row>
    <row r="242" customFormat="false" ht="15" hidden="false" customHeight="false" outlineLevel="0" collapsed="false">
      <c r="A242" s="3" t="n">
        <v>45912</v>
      </c>
      <c r="B242" s="4" t="n">
        <f aca="false">0.0547</f>
        <v>0.0547</v>
      </c>
      <c r="C242" s="4" t="n">
        <f aca="false">B241</f>
        <v>0.0539</v>
      </c>
      <c r="D242" s="4" t="n">
        <f aca="false">B242-C242</f>
        <v>0.000800000000000002</v>
      </c>
      <c r="H242" s="8" t="n">
        <f aca="false">G10+G9*C242</f>
        <v>8.78380279679205E-005</v>
      </c>
      <c r="I242" s="8" t="n">
        <f aca="false">D242-H242</f>
        <v>0.000712161972032082</v>
      </c>
      <c r="J242" s="8" t="n">
        <f aca="false">C242+D242/(G12*G6)</f>
        <v>0.0775742465341424</v>
      </c>
      <c r="K242" s="4" t="n">
        <f aca="false">(A242-$A$2)/365</f>
        <v>0.989041095890411</v>
      </c>
      <c r="L242" s="8" t="n">
        <f aca="false">IFERROR(AVERAGE(J183:J242),"")</f>
        <v>0.0551634628980842</v>
      </c>
    </row>
    <row r="243" customFormat="false" ht="15" hidden="false" customHeight="false" outlineLevel="0" collapsed="false">
      <c r="A243" s="3" t="n">
        <v>45915</v>
      </c>
      <c r="B243" s="4" t="n">
        <f aca="false">0.0548</f>
        <v>0.0548</v>
      </c>
      <c r="C243" s="4" t="n">
        <f aca="false">B242</f>
        <v>0.0547</v>
      </c>
      <c r="D243" s="4" t="n">
        <f aca="false">B243-C243</f>
        <v>0.000100000000000003</v>
      </c>
      <c r="H243" s="8" t="n">
        <f aca="false">G10+G9*C243</f>
        <v>6.08044326610114E-005</v>
      </c>
      <c r="I243" s="8" t="n">
        <f aca="false">D243-H243</f>
        <v>3.91955673389914E-005</v>
      </c>
      <c r="J243" s="8" t="n">
        <f aca="false">C243+D243/(G12*G6)</f>
        <v>0.0576592808167679</v>
      </c>
      <c r="K243" s="4" t="n">
        <f aca="false">(A243-$A$2)/365</f>
        <v>0.997260273972603</v>
      </c>
      <c r="L243" s="8" t="n">
        <f aca="false">IFERROR(AVERAGE(J184:J243),"")</f>
        <v>0.0552411175783637</v>
      </c>
    </row>
    <row r="244" customFormat="false" ht="15" hidden="false" customHeight="false" outlineLevel="0" collapsed="false">
      <c r="A244" s="3" t="n">
        <v>45916</v>
      </c>
      <c r="B244" s="4" t="n">
        <f aca="false">0.0548</f>
        <v>0.0548</v>
      </c>
      <c r="C244" s="4" t="n">
        <f aca="false">B243</f>
        <v>0.0548</v>
      </c>
      <c r="D244" s="4" t="n">
        <f aca="false">B244-C244</f>
        <v>0</v>
      </c>
      <c r="H244" s="8" t="n">
        <f aca="false">G10+G9*C244</f>
        <v>5.74252332476476E-005</v>
      </c>
      <c r="I244" s="8" t="n">
        <f aca="false">D244-H244</f>
        <v>-5.74252332476476E-005</v>
      </c>
      <c r="J244" s="8" t="n">
        <f aca="false">C244+D244/(G12*G6)</f>
        <v>0.0548</v>
      </c>
      <c r="K244" s="4" t="n">
        <f aca="false">(A244-$A$2)/365</f>
        <v>1</v>
      </c>
      <c r="L244" s="8" t="n">
        <f aca="false">IFERROR(AVERAGE(J185:J244),"")</f>
        <v>0.0552711175783637</v>
      </c>
    </row>
    <row r="245" customFormat="false" ht="15" hidden="false" customHeight="false" outlineLevel="0" collapsed="false">
      <c r="A245" s="3" t="n">
        <v>45917</v>
      </c>
      <c r="B245" s="4" t="n">
        <f aca="false">0.0549</f>
        <v>0.0549</v>
      </c>
      <c r="C245" s="4" t="n">
        <f aca="false">B244</f>
        <v>0.0548</v>
      </c>
      <c r="D245" s="4" t="n">
        <f aca="false">B245-C245</f>
        <v>0.000100000000000003</v>
      </c>
      <c r="H245" s="8" t="n">
        <f aca="false">G10+G9*C245</f>
        <v>5.74252332476476E-005</v>
      </c>
      <c r="I245" s="8" t="n">
        <f aca="false">D245-H245</f>
        <v>4.25747667523553E-005</v>
      </c>
      <c r="J245" s="8" t="n">
        <f aca="false">C245+D245/(G12*G6)</f>
        <v>0.0577592808167679</v>
      </c>
      <c r="K245" s="4" t="n">
        <f aca="false">(A245-$A$2)/365</f>
        <v>1.0027397260274</v>
      </c>
      <c r="L245" s="8" t="n">
        <f aca="false">IFERROR(AVERAGE(J186:J245),"")</f>
        <v>0.0553504389253098</v>
      </c>
    </row>
    <row r="246" customFormat="false" ht="15" hidden="false" customHeight="false" outlineLevel="0" collapsed="false">
      <c r="A246" s="3" t="n">
        <v>45918</v>
      </c>
      <c r="B246" s="4" t="n">
        <f aca="false">0.056</f>
        <v>0.056</v>
      </c>
      <c r="C246" s="4" t="n">
        <f aca="false">B245</f>
        <v>0.0549</v>
      </c>
      <c r="D246" s="4" t="n">
        <f aca="false">B246-C246</f>
        <v>0.00109999999999999</v>
      </c>
      <c r="H246" s="8" t="n">
        <f aca="false">G10+G9*C246</f>
        <v>5.4046033834284E-005</v>
      </c>
      <c r="I246" s="8" t="n">
        <f aca="false">D246-H246</f>
        <v>0.00104595396616571</v>
      </c>
      <c r="J246" s="8" t="n">
        <f aca="false">C246+D246/(G12*G6)</f>
        <v>0.0874520889844454</v>
      </c>
      <c r="K246" s="4" t="n">
        <f aca="false">(A246-$A$2)/365</f>
        <v>1.00547945205479</v>
      </c>
      <c r="L246" s="8" t="n">
        <f aca="false">IFERROR(AVERAGE(J187:J246),"")</f>
        <v>0.0559246404083839</v>
      </c>
    </row>
    <row r="247" customFormat="false" ht="15" hidden="false" customHeight="false" outlineLevel="0" collapsed="false">
      <c r="A247" s="3" t="n">
        <v>45919</v>
      </c>
      <c r="B247" s="4" t="n">
        <f aca="false">0.0558</f>
        <v>0.0558</v>
      </c>
      <c r="C247" s="4" t="n">
        <f aca="false">B246</f>
        <v>0.056</v>
      </c>
      <c r="D247" s="4" t="n">
        <f aca="false">B247-C247</f>
        <v>-0.000199999999999992</v>
      </c>
      <c r="H247" s="8" t="n">
        <f aca="false">G10+G9*C247</f>
        <v>1.68748402872843E-005</v>
      </c>
      <c r="I247" s="8" t="n">
        <f aca="false">D247-H247</f>
        <v>-0.000216874840287276</v>
      </c>
      <c r="J247" s="8" t="n">
        <f aca="false">C247+D247/(G12*G6)</f>
        <v>0.0500814383664647</v>
      </c>
      <c r="K247" s="4" t="n">
        <f aca="false">(A247-$A$2)/365</f>
        <v>1.00821917808219</v>
      </c>
      <c r="L247" s="8" t="n">
        <f aca="false">IFERROR(AVERAGE(J188:J247),"")</f>
        <v>0.0558759977144916</v>
      </c>
    </row>
    <row r="248" customFormat="false" ht="15" hidden="false" customHeight="false" outlineLevel="0" collapsed="false">
      <c r="A248" s="3" t="n">
        <v>45922</v>
      </c>
      <c r="B248" s="4" t="n">
        <f aca="false">0.0558</f>
        <v>0.0558</v>
      </c>
      <c r="C248" s="4" t="n">
        <f aca="false">B247</f>
        <v>0.0558</v>
      </c>
      <c r="D248" s="4" t="n">
        <f aca="false">B248-C248</f>
        <v>0</v>
      </c>
      <c r="H248" s="8" t="n">
        <f aca="false">G10+G9*C248</f>
        <v>2.36332391140113E-005</v>
      </c>
      <c r="I248" s="8" t="n">
        <f aca="false">D248-H248</f>
        <v>-2.36332391140113E-005</v>
      </c>
      <c r="J248" s="8" t="n">
        <f aca="false">C248+D248/(G12*G6)</f>
        <v>0.0558</v>
      </c>
      <c r="K248" s="4" t="n">
        <f aca="false">(A248-$A$2)/365</f>
        <v>1.01643835616438</v>
      </c>
      <c r="L248" s="8" t="n">
        <f aca="false">IFERROR(AVERAGE(J189:J248),"")</f>
        <v>0.0557747003403199</v>
      </c>
    </row>
    <row r="249" customFormat="false" ht="15" hidden="false" customHeight="false" outlineLevel="0" collapsed="false">
      <c r="A249" s="3" t="n">
        <v>45923</v>
      </c>
      <c r="B249" s="4" t="n">
        <f aca="false">0.0568</f>
        <v>0.0568</v>
      </c>
      <c r="C249" s="4" t="n">
        <f aca="false">B248</f>
        <v>0.0558</v>
      </c>
      <c r="D249" s="4" t="n">
        <f aca="false">B249-C249</f>
        <v>0.000999999999999994</v>
      </c>
      <c r="H249" s="8" t="n">
        <f aca="false">G10+G9*C249</f>
        <v>2.36332391140113E-005</v>
      </c>
      <c r="I249" s="8" t="n">
        <f aca="false">D249-H249</f>
        <v>0.000976366760885983</v>
      </c>
      <c r="J249" s="8" t="n">
        <f aca="false">C249+D249/(G12*G6)</f>
        <v>0.0853928081676778</v>
      </c>
      <c r="K249" s="4" t="n">
        <f aca="false">(A249-$A$2)/365</f>
        <v>1.01917808219178</v>
      </c>
      <c r="L249" s="8" t="n">
        <f aca="false">IFERROR(AVERAGE(J190:J249),"")</f>
        <v>0.0564575445172863</v>
      </c>
    </row>
    <row r="250" customFormat="false" ht="15" hidden="false" customHeight="false" outlineLevel="0" collapsed="false">
      <c r="A250" s="3" t="n">
        <v>45924</v>
      </c>
      <c r="B250" s="4" t="n">
        <f aca="false">0.0558</f>
        <v>0.0558</v>
      </c>
      <c r="C250" s="4" t="n">
        <f aca="false">B249</f>
        <v>0.0568</v>
      </c>
      <c r="D250" s="4" t="n">
        <f aca="false">B250-C250</f>
        <v>-0.000999999999999994</v>
      </c>
      <c r="H250" s="8" t="n">
        <f aca="false">G10+G9*C250</f>
        <v>-1.01587550196251E-005</v>
      </c>
      <c r="I250" s="8" t="n">
        <f aca="false">D250-H250</f>
        <v>-0.000989841244980369</v>
      </c>
      <c r="J250" s="8" t="n">
        <f aca="false">C250+D250/(G12*G6)</f>
        <v>0.0272071918323223</v>
      </c>
      <c r="K250" s="4" t="n">
        <f aca="false">(A250-$A$2)/365</f>
        <v>1.02191780821918</v>
      </c>
      <c r="L250" s="8" t="n">
        <f aca="false">IFERROR(AVERAGE(J191:J250),"")</f>
        <v>0.055534450911697</v>
      </c>
    </row>
    <row r="251" customFormat="false" ht="15" hidden="false" customHeight="false" outlineLevel="0" collapsed="false">
      <c r="A251" s="3" t="n">
        <v>45925</v>
      </c>
      <c r="B251" s="4" t="n">
        <f aca="false">0.0563</f>
        <v>0.0563</v>
      </c>
      <c r="C251" s="4" t="n">
        <f aca="false">B250</f>
        <v>0.0558</v>
      </c>
      <c r="D251" s="4" t="n">
        <f aca="false">B251-C251</f>
        <v>0.000499999999999994</v>
      </c>
      <c r="H251" s="8" t="n">
        <f aca="false">G10+G9*C251</f>
        <v>2.36332391140113E-005</v>
      </c>
      <c r="I251" s="8" t="n">
        <f aca="false">D251-H251</f>
        <v>0.000476366760885982</v>
      </c>
      <c r="J251" s="8" t="n">
        <f aca="false">C251+D251/(G12*G6)</f>
        <v>0.0705964040838388</v>
      </c>
      <c r="K251" s="4" t="n">
        <f aca="false">(A251-$A$2)/365</f>
        <v>1.02465753424658</v>
      </c>
      <c r="L251" s="8" t="n">
        <f aca="false">IFERROR(AVERAGE(J192:J251),"")</f>
        <v>0.0552192014830741</v>
      </c>
    </row>
    <row r="252" customFormat="false" ht="15" hidden="false" customHeight="false" outlineLevel="0" collapsed="false">
      <c r="A252" s="3" t="n">
        <v>45926</v>
      </c>
      <c r="B252" s="4" t="n">
        <f aca="false">0.0564</f>
        <v>0.0564</v>
      </c>
      <c r="C252" s="4" t="n">
        <f aca="false">B251</f>
        <v>0.0563</v>
      </c>
      <c r="D252" s="4" t="n">
        <f aca="false">B252-C252</f>
        <v>0.000100000000000003</v>
      </c>
      <c r="H252" s="8" t="n">
        <f aca="false">G10+G9*C252</f>
        <v>6.7372420471932E-006</v>
      </c>
      <c r="I252" s="8" t="n">
        <f aca="false">D252-H252</f>
        <v>9.32627579528097E-005</v>
      </c>
      <c r="J252" s="8" t="n">
        <f aca="false">C252+D252/(G12*G6)</f>
        <v>0.0592592808167679</v>
      </c>
      <c r="K252" s="4" t="n">
        <f aca="false">(A252-$A$2)/365</f>
        <v>1.02739726027397</v>
      </c>
      <c r="L252" s="8" t="n">
        <f aca="false">IFERROR(AVERAGE(J193:J252),"")</f>
        <v>0.0561253190614378</v>
      </c>
    </row>
    <row r="253" customFormat="false" ht="15" hidden="false" customHeight="false" outlineLevel="0" collapsed="false">
      <c r="A253" s="3" t="n">
        <v>45929</v>
      </c>
      <c r="B253" s="4" t="n">
        <f aca="false">0.0559</f>
        <v>0.0559</v>
      </c>
      <c r="C253" s="4" t="n">
        <f aca="false">B252</f>
        <v>0.0564</v>
      </c>
      <c r="D253" s="4" t="n">
        <f aca="false">B253-C253</f>
        <v>-0.0005</v>
      </c>
      <c r="H253" s="8" t="n">
        <f aca="false">G10+G9*C253</f>
        <v>3.35804263382937E-006</v>
      </c>
      <c r="I253" s="8" t="n">
        <f aca="false">D253-H253</f>
        <v>-0.00050335804263383</v>
      </c>
      <c r="J253" s="8" t="n">
        <f aca="false">C253+D253/(G12*G6)</f>
        <v>0.041603595916161</v>
      </c>
      <c r="K253" s="4" t="n">
        <f aca="false">(A253-$A$2)/365</f>
        <v>1.03561643835616</v>
      </c>
      <c r="L253" s="8" t="n">
        <f aca="false">IFERROR(AVERAGE(J194:J253),"")</f>
        <v>0.0561736523947711</v>
      </c>
    </row>
    <row r="254" customFormat="false" ht="15" hidden="false" customHeight="false" outlineLevel="0" collapsed="false">
      <c r="A254" s="3" t="n">
        <v>45930</v>
      </c>
      <c r="B254" s="4" t="n">
        <f aca="false">0.0574</f>
        <v>0.0574</v>
      </c>
      <c r="C254" s="4" t="n">
        <f aca="false">B253</f>
        <v>0.0559</v>
      </c>
      <c r="D254" s="4" t="n">
        <f aca="false">B254-C254</f>
        <v>0.0015</v>
      </c>
      <c r="H254" s="8" t="n">
        <f aca="false">G10+G9*C254</f>
        <v>2.02540397006477E-005</v>
      </c>
      <c r="I254" s="8" t="n">
        <f aca="false">D254-H254</f>
        <v>0.00147974596029935</v>
      </c>
      <c r="J254" s="8" t="n">
        <f aca="false">C254+D254/(G12*G6)</f>
        <v>0.100289212251517</v>
      </c>
      <c r="K254" s="4" t="n">
        <f aca="false">(A254-$A$2)/365</f>
        <v>1.03835616438356</v>
      </c>
      <c r="L254" s="8" t="n">
        <f aca="false">IFERROR(AVERAGE(J195:J254),"")</f>
        <v>0.0569618059322964</v>
      </c>
    </row>
    <row r="255" customFormat="false" ht="15" hidden="false" customHeight="false" outlineLevel="0" collapsed="false">
      <c r="A255" s="3" t="n">
        <v>45931</v>
      </c>
      <c r="B255" s="4" t="n">
        <f aca="false">0.054</f>
        <v>0.054</v>
      </c>
      <c r="C255" s="4" t="n">
        <f aca="false">B254</f>
        <v>0.0574</v>
      </c>
      <c r="D255" s="4" t="n">
        <f aca="false">B255-C255</f>
        <v>-0.00339999999999999</v>
      </c>
      <c r="H255" s="8" t="n">
        <f aca="false">G10+G9*C255</f>
        <v>-3.0433951499807E-005</v>
      </c>
      <c r="I255" s="8" t="n">
        <f aca="false">D255-H255</f>
        <v>-0.00336956604850019</v>
      </c>
      <c r="J255" s="8" t="n">
        <f aca="false">C255+D255/(G12*G6)</f>
        <v>-0.0432155477701047</v>
      </c>
      <c r="K255" s="4" t="n">
        <f aca="false">(A255-$A$2)/365</f>
        <v>1.04109589041096</v>
      </c>
      <c r="L255" s="8" t="n">
        <f aca="false">IFERROR(AVERAGE(J196:J255),"")</f>
        <v>0.0553088921225152</v>
      </c>
    </row>
    <row r="256" customFormat="false" ht="15" hidden="false" customHeight="false" outlineLevel="0" collapsed="false">
      <c r="A256" s="3" t="n">
        <v>45933</v>
      </c>
      <c r="B256" s="4" t="n">
        <f aca="false">0.054</f>
        <v>0.054</v>
      </c>
      <c r="C256" s="4" t="n">
        <f aca="false">B255</f>
        <v>0.054</v>
      </c>
      <c r="D256" s="4" t="n">
        <f aca="false">B256-C256</f>
        <v>0</v>
      </c>
      <c r="H256" s="8" t="n">
        <f aca="false">G10+G9*C256</f>
        <v>8.44588285545567E-005</v>
      </c>
      <c r="I256" s="8" t="n">
        <f aca="false">D256-H256</f>
        <v>-8.44588285545567E-005</v>
      </c>
      <c r="J256" s="8" t="n">
        <f aca="false">C256+D256/(G12*G6)</f>
        <v>0.054</v>
      </c>
      <c r="K256" s="4" t="n">
        <f aca="false">(A256-$A$2)/365</f>
        <v>1.04657534246575</v>
      </c>
      <c r="L256" s="8" t="n">
        <f aca="false">IFERROR(AVERAGE(J197:J256),"")</f>
        <v>0.0553732134694613</v>
      </c>
    </row>
    <row r="257" customFormat="false" ht="15" hidden="false" customHeight="false" outlineLevel="0" collapsed="false">
      <c r="A257" s="3" t="n">
        <v>45936</v>
      </c>
      <c r="B257" s="4" t="n">
        <f aca="false">0.0539</f>
        <v>0.0539</v>
      </c>
      <c r="C257" s="4" t="n">
        <f aca="false">B256</f>
        <v>0.054</v>
      </c>
      <c r="D257" s="4" t="n">
        <f aca="false">B257-C257</f>
        <v>-0.00010000000000001</v>
      </c>
      <c r="H257" s="8" t="n">
        <f aca="false">G10+G9*C257</f>
        <v>8.44588285545567E-005</v>
      </c>
      <c r="I257" s="8" t="n">
        <f aca="false">D257-H257</f>
        <v>-0.000184458828554567</v>
      </c>
      <c r="J257" s="8" t="n">
        <f aca="false">C257+D257/(G12*G6)</f>
        <v>0.0510407191832319</v>
      </c>
      <c r="K257" s="4" t="n">
        <f aca="false">(A257-$A$2)/365</f>
        <v>1.05479452054795</v>
      </c>
      <c r="L257" s="8" t="n">
        <f aca="false">IFERROR(AVERAGE(J198:J257),"")</f>
        <v>0.055389880136128</v>
      </c>
    </row>
    <row r="258" customFormat="false" ht="15" hidden="false" customHeight="false" outlineLevel="0" collapsed="false">
      <c r="A258" s="3" t="n">
        <v>45937</v>
      </c>
      <c r="B258" s="4" t="n">
        <f aca="false">0.0539</f>
        <v>0.0539</v>
      </c>
      <c r="C258" s="4" t="n">
        <f aca="false">B257</f>
        <v>0.0539</v>
      </c>
      <c r="D258" s="4" t="n">
        <f aca="false">B258-C258</f>
        <v>0</v>
      </c>
      <c r="H258" s="8" t="n">
        <f aca="false">G10+G9*C258</f>
        <v>8.78380279679205E-005</v>
      </c>
      <c r="I258" s="8" t="n">
        <f aca="false">D258-H258</f>
        <v>-8.78380279679205E-005</v>
      </c>
      <c r="J258" s="8" t="n">
        <f aca="false">C258+D258/(G12*G6)</f>
        <v>0.0539</v>
      </c>
      <c r="K258" s="4" t="n">
        <f aca="false">(A258-$A$2)/365</f>
        <v>1.05753424657534</v>
      </c>
      <c r="L258" s="8" t="n">
        <f aca="false">IFERROR(AVERAGE(J199:J258),"")</f>
        <v>0.0550612973741717</v>
      </c>
    </row>
    <row r="259" customFormat="false" ht="15" hidden="false" customHeight="false" outlineLevel="0" collapsed="false">
      <c r="A259" s="3" t="n">
        <v>45938</v>
      </c>
      <c r="B259" s="4" t="n">
        <f aca="false">0.0539</f>
        <v>0.0539</v>
      </c>
      <c r="C259" s="4" t="n">
        <f aca="false">B258</f>
        <v>0.0539</v>
      </c>
      <c r="D259" s="4" t="n">
        <f aca="false">B259-C259</f>
        <v>0</v>
      </c>
      <c r="H259" s="8" t="n">
        <f aca="false">G10+G9*C259</f>
        <v>8.78380279679205E-005</v>
      </c>
      <c r="I259" s="8" t="n">
        <f aca="false">D259-H259</f>
        <v>-8.78380279679205E-005</v>
      </c>
      <c r="J259" s="8" t="n">
        <f aca="false">C259+D259/(G12*G6)</f>
        <v>0.0539</v>
      </c>
      <c r="K259" s="4" t="n">
        <f aca="false">(A259-$A$2)/365</f>
        <v>1.06027397260274</v>
      </c>
      <c r="L259" s="8" t="n">
        <f aca="false">IFERROR(AVERAGE(J200:J259),"")</f>
        <v>0.0548690119863872</v>
      </c>
    </row>
    <row r="260" customFormat="false" ht="15" hidden="false" customHeight="false" outlineLevel="0" collapsed="false">
      <c r="A260" s="3" t="n">
        <v>45939</v>
      </c>
      <c r="B260" s="4" t="n">
        <f aca="false">0.055</f>
        <v>0.055</v>
      </c>
      <c r="C260" s="4" t="n">
        <f aca="false">B259</f>
        <v>0.0539</v>
      </c>
      <c r="D260" s="4" t="n">
        <f aca="false">B260-C260</f>
        <v>0.0011</v>
      </c>
      <c r="H260" s="8" t="n">
        <f aca="false">G10+G9*C260</f>
        <v>8.78380279679205E-005</v>
      </c>
      <c r="I260" s="8" t="n">
        <f aca="false">D260-H260</f>
        <v>0.00101216197203208</v>
      </c>
      <c r="J260" s="8" t="n">
        <f aca="false">C260+D260/(G12*G6)</f>
        <v>0.0864520889844458</v>
      </c>
      <c r="K260" s="4" t="n">
        <f aca="false">(A260-$A$2)/365</f>
        <v>1.06301369863014</v>
      </c>
      <c r="L260" s="8" t="n">
        <f aca="false">IFERROR(AVERAGE(J201:J260),"")</f>
        <v>0.0548673453197205</v>
      </c>
    </row>
    <row r="261" customFormat="false" ht="15" hidden="false" customHeight="false" outlineLevel="0" collapsed="false">
      <c r="A261" s="3" t="n">
        <v>45940</v>
      </c>
      <c r="B261" s="4" t="n">
        <f aca="false">0.0566</f>
        <v>0.0566</v>
      </c>
      <c r="C261" s="4" t="n">
        <f aca="false">B260</f>
        <v>0.055</v>
      </c>
      <c r="D261" s="4" t="n">
        <f aca="false">B261-C261</f>
        <v>0.0016</v>
      </c>
      <c r="H261" s="8" t="n">
        <f aca="false">G10+G9*C261</f>
        <v>5.06668344209204E-005</v>
      </c>
      <c r="I261" s="8" t="n">
        <f aca="false">D261-H261</f>
        <v>0.00154933316557908</v>
      </c>
      <c r="J261" s="8" t="n">
        <f aca="false">C261+D261/(G12*G6)</f>
        <v>0.102348493068285</v>
      </c>
      <c r="K261" s="4" t="n">
        <f aca="false">(A261-$A$2)/365</f>
        <v>1.06575342465753</v>
      </c>
      <c r="L261" s="8" t="n">
        <f aca="false">IFERROR(AVERAGE(J202:J261),"")</f>
        <v>0.0562959977144916</v>
      </c>
    </row>
    <row r="262" customFormat="false" ht="15" hidden="false" customHeight="false" outlineLevel="0" collapsed="false">
      <c r="A262" s="3" t="n">
        <v>45943</v>
      </c>
      <c r="B262" s="4" t="n">
        <f aca="false">0.0554</f>
        <v>0.0554</v>
      </c>
      <c r="C262" s="4" t="n">
        <f aca="false">B261</f>
        <v>0.0566</v>
      </c>
      <c r="D262" s="4" t="n">
        <f aca="false">B262-C262</f>
        <v>-0.00120000000000001</v>
      </c>
      <c r="H262" s="8" t="n">
        <f aca="false">G10+G9*C262</f>
        <v>-3.40035619289807E-006</v>
      </c>
      <c r="I262" s="8" t="n">
        <f aca="false">D262-H262</f>
        <v>-0.00119659964380711</v>
      </c>
      <c r="J262" s="8" t="n">
        <f aca="false">C262+D262/(G12*G6)</f>
        <v>0.0210886301987863</v>
      </c>
      <c r="K262" s="4" t="n">
        <f aca="false">(A262-$A$2)/365</f>
        <v>1.07397260273973</v>
      </c>
      <c r="L262" s="8" t="n">
        <f aca="false">IFERROR(AVERAGE(J203:J262),"")</f>
        <v>0.055454880136128</v>
      </c>
    </row>
    <row r="263" customFormat="false" ht="15" hidden="false" customHeight="false" outlineLevel="0" collapsed="false">
      <c r="A263" s="3" t="n">
        <v>45944</v>
      </c>
      <c r="B263" s="4" t="n">
        <f aca="false">0.0548</f>
        <v>0.0548</v>
      </c>
      <c r="C263" s="4" t="n">
        <f aca="false">B262</f>
        <v>0.0554</v>
      </c>
      <c r="D263" s="4" t="n">
        <f aca="false">B263-C263</f>
        <v>-0.000599999999999996</v>
      </c>
      <c r="H263" s="8" t="n">
        <f aca="false">G10+G9*C263</f>
        <v>3.71500367674659E-005</v>
      </c>
      <c r="I263" s="8" t="n">
        <f aca="false">D263-H263</f>
        <v>-0.000637150036767462</v>
      </c>
      <c r="J263" s="8" t="n">
        <f aca="false">C263+D263/(G12*G6)</f>
        <v>0.0376443150993934</v>
      </c>
      <c r="K263" s="4" t="n">
        <f aca="false">(A263-$A$2)/365</f>
        <v>1.07671232876712</v>
      </c>
      <c r="L263" s="8" t="n">
        <f aca="false">IFERROR(AVERAGE(J204:J263),"")</f>
        <v>0.0553729041089024</v>
      </c>
    </row>
    <row r="264" customFormat="false" ht="15" hidden="false" customHeight="false" outlineLevel="0" collapsed="false">
      <c r="A264" s="3" t="n">
        <v>45945</v>
      </c>
      <c r="B264" s="4" t="n">
        <f aca="false">0.0541</f>
        <v>0.0541</v>
      </c>
      <c r="C264" s="4" t="n">
        <f aca="false">B263</f>
        <v>0.0548</v>
      </c>
      <c r="D264" s="4" t="n">
        <f aca="false">B264-C264</f>
        <v>-0.000699999999999999</v>
      </c>
      <c r="H264" s="8" t="n">
        <f aca="false">G10+G9*C264</f>
        <v>5.74252332476476E-005</v>
      </c>
      <c r="I264" s="8" t="n">
        <f aca="false">D264-H264</f>
        <v>-0.000757425233247647</v>
      </c>
      <c r="J264" s="8" t="n">
        <f aca="false">C264+D264/(G12*G6)</f>
        <v>0.0340850342826255</v>
      </c>
      <c r="K264" s="4" t="n">
        <f aca="false">(A264-$A$2)/365</f>
        <v>1.07945205479452</v>
      </c>
      <c r="L264" s="8" t="n">
        <f aca="false">IFERROR(AVERAGE(J205:J264),"")</f>
        <v>0.0550903093605589</v>
      </c>
    </row>
    <row r="265" customFormat="false" ht="15" hidden="false" customHeight="false" outlineLevel="0" collapsed="false">
      <c r="A265" s="3" t="n">
        <v>45946</v>
      </c>
      <c r="B265" s="4" t="n">
        <f aca="false">0.0545</f>
        <v>0.0545</v>
      </c>
      <c r="C265" s="4" t="n">
        <f aca="false">B264</f>
        <v>0.0541</v>
      </c>
      <c r="D265" s="4" t="n">
        <f aca="false">B265-C265</f>
        <v>0.000399999999999998</v>
      </c>
      <c r="H265" s="8" t="n">
        <f aca="false">G10+G9*C265</f>
        <v>8.10796291411931E-005</v>
      </c>
      <c r="I265" s="8" t="n">
        <f aca="false">D265-H265</f>
        <v>0.000318920370858805</v>
      </c>
      <c r="J265" s="8" t="n">
        <f aca="false">C265+D265/(G12*G6)</f>
        <v>0.0659371232670711</v>
      </c>
      <c r="K265" s="4" t="n">
        <f aca="false">(A265-$A$2)/365</f>
        <v>1.08219178082192</v>
      </c>
      <c r="L265" s="8" t="n">
        <f aca="false">IFERROR(AVERAGE(J206:J265),"")</f>
        <v>0.0552909280816768</v>
      </c>
    </row>
    <row r="266" customFormat="false" ht="15" hidden="false" customHeight="false" outlineLevel="0" collapsed="false">
      <c r="A266" s="3" t="n">
        <v>45947</v>
      </c>
      <c r="B266" s="4" t="n">
        <f aca="false">0.0555</f>
        <v>0.0555</v>
      </c>
      <c r="C266" s="4" t="n">
        <f aca="false">B265</f>
        <v>0.0545</v>
      </c>
      <c r="D266" s="4" t="n">
        <f aca="false">B266-C266</f>
        <v>0.001</v>
      </c>
      <c r="H266" s="8" t="n">
        <f aca="false">G10+G9*C266</f>
        <v>6.75628314877387E-005</v>
      </c>
      <c r="I266" s="8" t="n">
        <f aca="false">D266-H266</f>
        <v>0.000932437168512262</v>
      </c>
      <c r="J266" s="8" t="n">
        <f aca="false">C266+D266/(G12*G6)</f>
        <v>0.084092808167678</v>
      </c>
      <c r="K266" s="4" t="n">
        <f aca="false">(A266-$A$2)/365</f>
        <v>1.08493150684932</v>
      </c>
      <c r="L266" s="8" t="n">
        <f aca="false">IFERROR(AVERAGE(J207:J266),"")</f>
        <v>0.0551529640408384</v>
      </c>
    </row>
    <row r="267" customFormat="false" ht="15" hidden="false" customHeight="false" outlineLevel="0" collapsed="false">
      <c r="A267" s="3" t="n">
        <v>45950</v>
      </c>
      <c r="B267" s="4" t="n">
        <f aca="false">0.0564</f>
        <v>0.0564</v>
      </c>
      <c r="C267" s="4" t="n">
        <f aca="false">B266</f>
        <v>0.0555</v>
      </c>
      <c r="D267" s="4" t="n">
        <f aca="false">B267-C267</f>
        <v>0.000899999999999998</v>
      </c>
      <c r="H267" s="8" t="n">
        <f aca="false">G10+G9*C267</f>
        <v>3.37708373541021E-005</v>
      </c>
      <c r="I267" s="8" t="n">
        <f aca="false">D267-H267</f>
        <v>0.000866229162645896</v>
      </c>
      <c r="J267" s="8" t="n">
        <f aca="false">C267+D267/(G12*G6)</f>
        <v>0.0821335273509101</v>
      </c>
      <c r="K267" s="4" t="n">
        <f aca="false">(A267-$A$2)/365</f>
        <v>1.09315068493151</v>
      </c>
      <c r="L267" s="8" t="n">
        <f aca="false">IFERROR(AVERAGE(J208:J267),"")</f>
        <v>0.0548127146122155</v>
      </c>
    </row>
    <row r="268" customFormat="false" ht="15" hidden="false" customHeight="false" outlineLevel="0" collapsed="false">
      <c r="A268" s="3" t="n">
        <v>45953</v>
      </c>
      <c r="B268" s="4" t="n">
        <f aca="false">0.0549</f>
        <v>0.0549</v>
      </c>
      <c r="C268" s="4" t="n">
        <f aca="false">B267</f>
        <v>0.0564</v>
      </c>
      <c r="D268" s="4" t="n">
        <f aca="false">B268-C268</f>
        <v>-0.00149999999999999</v>
      </c>
      <c r="H268" s="8" t="n">
        <f aca="false">G10+G9*C268</f>
        <v>3.35804263382937E-006</v>
      </c>
      <c r="I268" s="8" t="n">
        <f aca="false">D268-H268</f>
        <v>-0.00150335804263382</v>
      </c>
      <c r="J268" s="8" t="n">
        <f aca="false">C268+D268/(G12*G6)</f>
        <v>0.0120107877484833</v>
      </c>
      <c r="K268" s="4" t="n">
        <f aca="false">(A268-$A$2)/365</f>
        <v>1.1013698630137</v>
      </c>
      <c r="L268" s="8" t="n">
        <f aca="false">IFERROR(AVERAGE(J209:J268),"")</f>
        <v>0.053375728884111</v>
      </c>
    </row>
    <row r="269" customFormat="false" ht="15" hidden="false" customHeight="false" outlineLevel="0" collapsed="false">
      <c r="A269" s="3" t="n">
        <v>45954</v>
      </c>
      <c r="B269" s="4" t="n">
        <f aca="false">0.0552</f>
        <v>0.0552</v>
      </c>
      <c r="C269" s="4" t="n">
        <f aca="false">B268</f>
        <v>0.0549</v>
      </c>
      <c r="D269" s="4" t="n">
        <f aca="false">B269-C269</f>
        <v>0.000299999999999995</v>
      </c>
      <c r="H269" s="8" t="n">
        <f aca="false">G10+G9*C269</f>
        <v>5.4046033834284E-005</v>
      </c>
      <c r="I269" s="8" t="n">
        <f aca="false">D269-H269</f>
        <v>0.000245953966165711</v>
      </c>
      <c r="J269" s="8" t="n">
        <f aca="false">C269+D269/(G12*G6)</f>
        <v>0.0637778424503032</v>
      </c>
      <c r="K269" s="4" t="n">
        <f aca="false">(A269-$A$2)/365</f>
        <v>1.1041095890411</v>
      </c>
      <c r="L269" s="8" t="n">
        <f aca="false">IFERROR(AVERAGE(J210:J269),"")</f>
        <v>0.0544057985169259</v>
      </c>
    </row>
    <row r="270" customFormat="false" ht="15" hidden="false" customHeight="false" outlineLevel="0" collapsed="false">
      <c r="A270" s="3" t="n">
        <v>45957</v>
      </c>
      <c r="B270" s="4" t="n">
        <f aca="false">0.0565</f>
        <v>0.0565</v>
      </c>
      <c r="C270" s="4" t="n">
        <f aca="false">B269</f>
        <v>0.0552</v>
      </c>
      <c r="D270" s="4" t="n">
        <f aca="false">B270-C270</f>
        <v>0.0013</v>
      </c>
      <c r="H270" s="8" t="n">
        <f aca="false">G10+G9*C270</f>
        <v>4.39084355941932E-005</v>
      </c>
      <c r="I270" s="8" t="n">
        <f aca="false">D270-H270</f>
        <v>0.00125609156440581</v>
      </c>
      <c r="J270" s="8" t="n">
        <f aca="false">C270+D270/(G12*G6)</f>
        <v>0.0936706506179814</v>
      </c>
      <c r="K270" s="4" t="n">
        <f aca="false">(A270-$A$2)/365</f>
        <v>1.11232876712329</v>
      </c>
      <c r="L270" s="8" t="n">
        <f aca="false">IFERROR(AVERAGE(J211:J270),"")</f>
        <v>0.0559657482858687</v>
      </c>
    </row>
    <row r="271" customFormat="false" ht="15" hidden="false" customHeight="false" outlineLevel="0" collapsed="false">
      <c r="A271" s="3" t="n">
        <v>45958</v>
      </c>
      <c r="B271" s="4" t="n">
        <f aca="false">0.0564</f>
        <v>0.0564</v>
      </c>
      <c r="C271" s="4" t="n">
        <f aca="false">B270</f>
        <v>0.0565</v>
      </c>
      <c r="D271" s="4" t="n">
        <f aca="false">B271-C271</f>
        <v>-0.000100000000000003</v>
      </c>
      <c r="H271" s="8" t="n">
        <f aca="false">G10+G9*C271</f>
        <v>-2.11567795342388E-008</v>
      </c>
      <c r="I271" s="8" t="n">
        <f aca="false">D271-H271</f>
        <v>-9.99788432204686E-005</v>
      </c>
      <c r="J271" s="8" t="n">
        <f aca="false">C271+D271/(G12*G6)</f>
        <v>0.0535407191832321</v>
      </c>
      <c r="K271" s="4" t="n">
        <f aca="false">(A271-$A$2)/365</f>
        <v>1.11506849315069</v>
      </c>
      <c r="L271" s="8" t="n">
        <f aca="false">IFERROR(AVERAGE(J212:J271),"")</f>
        <v>0.0561487123267071</v>
      </c>
    </row>
    <row r="272" customFormat="false" ht="15" hidden="false" customHeight="false" outlineLevel="0" collapsed="false">
      <c r="A272" s="3" t="n">
        <v>45959</v>
      </c>
      <c r="B272" s="4" t="n">
        <f aca="false">0.0564</f>
        <v>0.0564</v>
      </c>
      <c r="C272" s="4" t="n">
        <f aca="false">B271</f>
        <v>0.0564</v>
      </c>
      <c r="D272" s="4" t="n">
        <f aca="false">B272-C272</f>
        <v>0</v>
      </c>
      <c r="H272" s="8" t="n">
        <f aca="false">G10+G9*C272</f>
        <v>3.35804263382937E-006</v>
      </c>
      <c r="I272" s="8" t="n">
        <f aca="false">D272-H272</f>
        <v>-3.35804263382937E-006</v>
      </c>
      <c r="J272" s="8" t="n">
        <f aca="false">C272+D272/(G12*G6)</f>
        <v>0.0564</v>
      </c>
      <c r="K272" s="4" t="n">
        <f aca="false">(A272-$A$2)/365</f>
        <v>1.11780821917808</v>
      </c>
      <c r="L272" s="8" t="n">
        <f aca="false">IFERROR(AVERAGE(J213:J272),"")</f>
        <v>0.0559421055919765</v>
      </c>
    </row>
    <row r="273" customFormat="false" ht="15" hidden="false" customHeight="false" outlineLevel="0" collapsed="false">
      <c r="A273" s="3" t="n">
        <v>45960</v>
      </c>
      <c r="B273" s="4" t="n">
        <f aca="false">0.0564</f>
        <v>0.0564</v>
      </c>
      <c r="C273" s="4" t="n">
        <f aca="false">B272</f>
        <v>0.0564</v>
      </c>
      <c r="D273" s="4" t="n">
        <f aca="false">B273-C273</f>
        <v>0</v>
      </c>
      <c r="H273" s="8" t="n">
        <f aca="false">G10+G9*C273</f>
        <v>3.35804263382937E-006</v>
      </c>
      <c r="I273" s="8" t="n">
        <f aca="false">D273-H273</f>
        <v>-3.35804263382937E-006</v>
      </c>
      <c r="J273" s="8" t="n">
        <f aca="false">C273+D273/(G12*G6)</f>
        <v>0.0564</v>
      </c>
      <c r="K273" s="4" t="n">
        <f aca="false">(A273-$A$2)/365</f>
        <v>1.12054794520548</v>
      </c>
      <c r="L273" s="8" t="n">
        <f aca="false">IFERROR(AVERAGE(J214:J273),"")</f>
        <v>0.0561217362994815</v>
      </c>
    </row>
    <row r="274" customFormat="false" ht="15" hidden="false" customHeight="false" outlineLevel="0" collapsed="false">
      <c r="A274" s="3" t="n">
        <v>45961</v>
      </c>
      <c r="B274" s="4" t="n">
        <f aca="false">0.0569</f>
        <v>0.0569</v>
      </c>
      <c r="C274" s="4" t="n">
        <f aca="false">B273</f>
        <v>0.0564</v>
      </c>
      <c r="D274" s="4" t="n">
        <f aca="false">B274-C274</f>
        <v>0.000500000000000007</v>
      </c>
      <c r="H274" s="8" t="n">
        <f aca="false">G10+G9*C274</f>
        <v>3.35804263382937E-006</v>
      </c>
      <c r="I274" s="8" t="n">
        <f aca="false">D274-H274</f>
        <v>0.000496641957366178</v>
      </c>
      <c r="J274" s="8" t="n">
        <f aca="false">C274+D274/(G12*G6)</f>
        <v>0.0711964040838392</v>
      </c>
      <c r="K274" s="4" t="n">
        <f aca="false">(A274-$A$2)/365</f>
        <v>1.12328767123288</v>
      </c>
      <c r="L274" s="8" t="n">
        <f aca="false">IFERROR(AVERAGE(J215:J274),"")</f>
        <v>0.0558131535375253</v>
      </c>
    </row>
    <row r="275" customFormat="false" ht="15" hidden="false" customHeight="false" outlineLevel="0" collapsed="false">
      <c r="A275" s="3" t="n">
        <v>45964</v>
      </c>
      <c r="B275" s="4" t="n">
        <f aca="false">0.0549</f>
        <v>0.0549</v>
      </c>
      <c r="C275" s="4" t="n">
        <f aca="false">B274</f>
        <v>0.0569</v>
      </c>
      <c r="D275" s="4" t="n">
        <f aca="false">B275-C275</f>
        <v>-0.002</v>
      </c>
      <c r="H275" s="8" t="n">
        <f aca="false">G10+G9*C275</f>
        <v>-1.35379544329889E-005</v>
      </c>
      <c r="I275" s="8" t="n">
        <f aca="false">D275-H275</f>
        <v>-0.00198646204556701</v>
      </c>
      <c r="J275" s="8" t="n">
        <f aca="false">C275+D275/(G12*G6)</f>
        <v>-0.00228561633535589</v>
      </c>
      <c r="K275" s="4" t="n">
        <f aca="false">(A275-$A$2)/365</f>
        <v>1.13150684931507</v>
      </c>
      <c r="L275" s="8" t="n">
        <f aca="false">IFERROR(AVERAGE(J216:J275),"")</f>
        <v>0.0550490119863872</v>
      </c>
    </row>
    <row r="276" customFormat="false" ht="15" hidden="false" customHeight="false" outlineLevel="0" collapsed="false">
      <c r="A276" s="3" t="n">
        <v>45965</v>
      </c>
      <c r="B276" s="4" t="n">
        <f aca="false">0.0549</f>
        <v>0.0549</v>
      </c>
      <c r="C276" s="4" t="n">
        <f aca="false">B275</f>
        <v>0.0549</v>
      </c>
      <c r="D276" s="4" t="n">
        <f aca="false">B276-C276</f>
        <v>0</v>
      </c>
      <c r="H276" s="8" t="n">
        <f aca="false">G10+G9*C276</f>
        <v>5.4046033834284E-005</v>
      </c>
      <c r="I276" s="8" t="n">
        <f aca="false">D276-H276</f>
        <v>-5.4046033834284E-005</v>
      </c>
      <c r="J276" s="8" t="n">
        <f aca="false">C276+D276/(G12*G6)</f>
        <v>0.0549</v>
      </c>
      <c r="K276" s="4" t="n">
        <f aca="false">(A276-$A$2)/365</f>
        <v>1.13424657534247</v>
      </c>
      <c r="L276" s="8" t="n">
        <f aca="false">IFERROR(AVERAGE(J217:J276),"")</f>
        <v>0.0553925947483435</v>
      </c>
    </row>
    <row r="277" customFormat="false" ht="15" hidden="false" customHeight="false" outlineLevel="0" collapsed="false">
      <c r="A277" s="3" t="n">
        <v>45967</v>
      </c>
      <c r="B277" s="4" t="n">
        <f aca="false">0.0546</f>
        <v>0.0546</v>
      </c>
      <c r="C277" s="4" t="n">
        <f aca="false">B276</f>
        <v>0.0549</v>
      </c>
      <c r="D277" s="4" t="n">
        <f aca="false">B277-C277</f>
        <v>-0.000300000000000002</v>
      </c>
      <c r="H277" s="8" t="n">
        <f aca="false">G10+G9*C277</f>
        <v>5.4046033834284E-005</v>
      </c>
      <c r="I277" s="8" t="n">
        <f aca="false">D277-H277</f>
        <v>-0.000354046033834286</v>
      </c>
      <c r="J277" s="8" t="n">
        <f aca="false">C277+D277/(G12*G6)</f>
        <v>0.0460221575496966</v>
      </c>
      <c r="K277" s="4" t="n">
        <f aca="false">(A277-$A$2)/365</f>
        <v>1.13972602739726</v>
      </c>
      <c r="L277" s="8" t="n">
        <f aca="false">IFERROR(AVERAGE(J218:J277),"")</f>
        <v>0.0553532734013973</v>
      </c>
    </row>
    <row r="278" customFormat="false" ht="15" hidden="false" customHeight="false" outlineLevel="0" collapsed="false">
      <c r="A278" s="3" t="n">
        <v>45968</v>
      </c>
      <c r="B278" s="4" t="n">
        <f aca="false">0.0544</f>
        <v>0.0544</v>
      </c>
      <c r="C278" s="4" t="n">
        <f aca="false">B277</f>
        <v>0.0546</v>
      </c>
      <c r="D278" s="4" t="n">
        <f aca="false">B278-C278</f>
        <v>-0.000199999999999999</v>
      </c>
      <c r="H278" s="8" t="n">
        <f aca="false">G10+G9*C278</f>
        <v>6.41836320743748E-005</v>
      </c>
      <c r="I278" s="8" t="n">
        <f aca="false">D278-H278</f>
        <v>-0.000264183632074374</v>
      </c>
      <c r="J278" s="8" t="n">
        <f aca="false">C278+D278/(G12*G6)</f>
        <v>0.0486814383664645</v>
      </c>
      <c r="K278" s="4" t="n">
        <f aca="false">(A278-$A$2)/365</f>
        <v>1.14246575342466</v>
      </c>
      <c r="L278" s="8" t="n">
        <f aca="false">IFERROR(AVERAGE(J219:J278),"")</f>
        <v>0.0554602494286229</v>
      </c>
    </row>
    <row r="279" customFormat="false" ht="15" hidden="false" customHeight="false" outlineLevel="0" collapsed="false">
      <c r="A279" s="3" t="n">
        <v>45971</v>
      </c>
      <c r="B279" s="4" t="n">
        <f aca="false">0.0539</f>
        <v>0.0539</v>
      </c>
      <c r="C279" s="4" t="n">
        <f aca="false">B278</f>
        <v>0.0544</v>
      </c>
      <c r="D279" s="4" t="n">
        <f aca="false">B279-C279</f>
        <v>-0.000500000000000007</v>
      </c>
      <c r="H279" s="8" t="n">
        <f aca="false">G10+G9*C279</f>
        <v>7.0942030901102E-005</v>
      </c>
      <c r="I279" s="8" t="n">
        <f aca="false">D279-H279</f>
        <v>-0.000570942030901109</v>
      </c>
      <c r="J279" s="8" t="n">
        <f aca="false">C279+D279/(G12*G6)</f>
        <v>0.0396035959161608</v>
      </c>
      <c r="K279" s="4" t="n">
        <f aca="false">(A279-$A$2)/365</f>
        <v>1.15068493150685</v>
      </c>
      <c r="L279" s="8" t="n">
        <f aca="false">IFERROR(AVERAGE(J220:J279),"")</f>
        <v>0.0551266666666667</v>
      </c>
    </row>
    <row r="280" customFormat="false" ht="15" hidden="false" customHeight="false" outlineLevel="0" collapsed="false">
      <c r="A280" s="3" t="n">
        <v>45972</v>
      </c>
      <c r="B280" s="4" t="n">
        <f aca="false">0.0539</f>
        <v>0.0539</v>
      </c>
      <c r="C280" s="4" t="n">
        <f aca="false">B279</f>
        <v>0.0539</v>
      </c>
      <c r="D280" s="4" t="n">
        <f aca="false">B280-C280</f>
        <v>0</v>
      </c>
      <c r="H280" s="8" t="n">
        <f aca="false">G10+G9*C280</f>
        <v>8.78380279679205E-005</v>
      </c>
      <c r="I280" s="8" t="n">
        <f aca="false">D280-H280</f>
        <v>-8.78380279679205E-005</v>
      </c>
      <c r="J280" s="8" t="n">
        <f aca="false">C280+D280/(G12*G6)</f>
        <v>0.0539</v>
      </c>
      <c r="K280" s="4" t="n">
        <f aca="false">(A280-$A$2)/365</f>
        <v>1.15342465753425</v>
      </c>
      <c r="L280" s="8" t="n">
        <f aca="false">IFERROR(AVERAGE(J221:J280),"")</f>
        <v>0.0539429543399596</v>
      </c>
    </row>
    <row r="281" customFormat="false" ht="15" hidden="false" customHeight="false" outlineLevel="0" collapsed="false">
      <c r="A281" s="3" t="n">
        <v>45973</v>
      </c>
      <c r="B281" s="4" t="n">
        <f aca="false">0.0539</f>
        <v>0.0539</v>
      </c>
      <c r="C281" s="4" t="n">
        <f aca="false">B280</f>
        <v>0.0539</v>
      </c>
      <c r="D281" s="4" t="n">
        <f aca="false">B281-C281</f>
        <v>0</v>
      </c>
      <c r="H281" s="8" t="n">
        <f aca="false">G10+G9*C281</f>
        <v>8.78380279679205E-005</v>
      </c>
      <c r="I281" s="8" t="n">
        <f aca="false">D281-H281</f>
        <v>-8.78380279679205E-005</v>
      </c>
      <c r="J281" s="8" t="n">
        <f aca="false">C281+D281/(G12*G6)</f>
        <v>0.0539</v>
      </c>
      <c r="K281" s="4" t="n">
        <f aca="false">(A281-$A$2)/365</f>
        <v>1.15616438356164</v>
      </c>
      <c r="L281" s="8" t="n">
        <f aca="false">IFERROR(AVERAGE(J222:J281),"")</f>
        <v>0.0549880239727744</v>
      </c>
    </row>
    <row r="282" customFormat="false" ht="15" hidden="false" customHeight="false" outlineLevel="0" collapsed="false">
      <c r="A282" s="3" t="n">
        <v>45974</v>
      </c>
      <c r="B282" s="4" t="n">
        <f aca="false">0.0539</f>
        <v>0.0539</v>
      </c>
      <c r="C282" s="4" t="n">
        <f aca="false">B281</f>
        <v>0.0539</v>
      </c>
      <c r="D282" s="4" t="n">
        <f aca="false">B282-C282</f>
        <v>0</v>
      </c>
      <c r="H282" s="8" t="n">
        <f aca="false">G10+G9*C282</f>
        <v>8.78380279679205E-005</v>
      </c>
      <c r="I282" s="8" t="n">
        <f aca="false">D282-H282</f>
        <v>-8.78380279679205E-005</v>
      </c>
      <c r="J282" s="8" t="n">
        <f aca="false">C282+D282/(G12*G6)</f>
        <v>0.0539</v>
      </c>
      <c r="K282" s="4" t="n">
        <f aca="false">(A282-$A$2)/365</f>
        <v>1.15890410958904</v>
      </c>
      <c r="L282" s="8" t="n">
        <f aca="false">IFERROR(AVERAGE(J223:J282),"")</f>
        <v>0.0545407985169259</v>
      </c>
    </row>
    <row r="283" customFormat="false" ht="15" hidden="false" customHeight="false" outlineLevel="0" collapsed="false">
      <c r="A283" s="3" t="n">
        <v>45975</v>
      </c>
      <c r="B283" s="4" t="n">
        <f aca="false">0.0558</f>
        <v>0.0558</v>
      </c>
      <c r="C283" s="4" t="n">
        <f aca="false">B282</f>
        <v>0.0539</v>
      </c>
      <c r="D283" s="4" t="n">
        <f aca="false">B283-C283</f>
        <v>0.00190000000000001</v>
      </c>
      <c r="H283" s="8" t="n">
        <f aca="false">G10+G9*C283</f>
        <v>8.78380279679205E-005</v>
      </c>
      <c r="I283" s="8" t="n">
        <f aca="false">D283-H283</f>
        <v>0.00181216197203209</v>
      </c>
      <c r="J283" s="8" t="n">
        <f aca="false">C283+D283/(G12*G6)</f>
        <v>0.110126335518588</v>
      </c>
      <c r="K283" s="4" t="n">
        <f aca="false">(A283-$A$2)/365</f>
        <v>1.16164383561644</v>
      </c>
      <c r="L283" s="8" t="n">
        <f aca="false">IFERROR(AVERAGE(J224:J283),"")</f>
        <v>0.0553609280816768</v>
      </c>
    </row>
    <row r="284" customFormat="false" ht="15" hidden="false" customHeight="false" outlineLevel="0" collapsed="false">
      <c r="A284" s="3" t="n">
        <v>45978</v>
      </c>
      <c r="B284" s="4" t="n">
        <f aca="false">0.0543</f>
        <v>0.0543</v>
      </c>
      <c r="C284" s="4" t="n">
        <f aca="false">B283</f>
        <v>0.0558</v>
      </c>
      <c r="D284" s="4" t="n">
        <f aca="false">B284-C284</f>
        <v>-0.00150000000000001</v>
      </c>
      <c r="H284" s="8" t="n">
        <f aca="false">G10+G9*C284</f>
        <v>2.36332391140113E-005</v>
      </c>
      <c r="I284" s="8" t="n">
        <f aca="false">D284-H284</f>
        <v>-0.00152363323911402</v>
      </c>
      <c r="J284" s="8" t="n">
        <f aca="false">C284+D284/(G12*G6)</f>
        <v>0.0114107877484829</v>
      </c>
      <c r="K284" s="4" t="n">
        <f aca="false">(A284-$A$2)/365</f>
        <v>1.16986301369863</v>
      </c>
      <c r="L284" s="8" t="n">
        <f aca="false">IFERROR(AVERAGE(J225:J284),"")</f>
        <v>0.0545817865305387</v>
      </c>
    </row>
    <row r="285" customFormat="false" ht="15" hidden="false" customHeight="false" outlineLevel="0" collapsed="false">
      <c r="A285" s="3" t="n">
        <v>45979</v>
      </c>
      <c r="B285" s="4" t="n">
        <f aca="false">0.0544</f>
        <v>0.0544</v>
      </c>
      <c r="C285" s="4" t="n">
        <f aca="false">B284</f>
        <v>0.0543</v>
      </c>
      <c r="D285" s="4" t="n">
        <f aca="false">B285-C285</f>
        <v>0.00010000000000001</v>
      </c>
      <c r="H285" s="8" t="n">
        <f aca="false">G10+G9*C285</f>
        <v>7.43212303144661E-005</v>
      </c>
      <c r="I285" s="8" t="n">
        <f aca="false">D285-H285</f>
        <v>2.56787696855437E-005</v>
      </c>
      <c r="J285" s="8" t="n">
        <f aca="false">C285+D285/(G12*G6)</f>
        <v>0.0572592808167681</v>
      </c>
      <c r="K285" s="4" t="n">
        <f aca="false">(A285-$A$2)/365</f>
        <v>1.17260273972603</v>
      </c>
      <c r="L285" s="8" t="n">
        <f aca="false">IFERROR(AVERAGE(J226:J285),"")</f>
        <v>0.0550090119863872</v>
      </c>
    </row>
    <row r="286" customFormat="false" ht="15" hidden="false" customHeight="false" outlineLevel="0" collapsed="false">
      <c r="A286" s="3" t="n">
        <v>45980</v>
      </c>
      <c r="B286" s="4" t="n">
        <f aca="false">0.0544</f>
        <v>0.0544</v>
      </c>
      <c r="C286" s="4" t="n">
        <f aca="false">B285</f>
        <v>0.0544</v>
      </c>
      <c r="D286" s="4" t="n">
        <f aca="false">B286-C286</f>
        <v>0</v>
      </c>
      <c r="H286" s="8" t="n">
        <f aca="false">G10+G9*C286</f>
        <v>7.0942030901102E-005</v>
      </c>
      <c r="I286" s="8" t="n">
        <f aca="false">D286-H286</f>
        <v>-7.0942030901102E-005</v>
      </c>
      <c r="J286" s="8" t="n">
        <f aca="false">C286+D286/(G12*G6)</f>
        <v>0.0544</v>
      </c>
      <c r="K286" s="4" t="n">
        <f aca="false">(A286-$A$2)/365</f>
        <v>1.17534246575342</v>
      </c>
      <c r="L286" s="8" t="n">
        <f aca="false">IFERROR(AVERAGE(J227:J286),"")</f>
        <v>0.0548593812788821</v>
      </c>
    </row>
    <row r="287" customFormat="false" ht="15" hidden="false" customHeight="false" outlineLevel="0" collapsed="false">
      <c r="A287" s="3" t="n">
        <v>45981</v>
      </c>
      <c r="B287" s="4" t="n">
        <f aca="false">0.0548</f>
        <v>0.0548</v>
      </c>
      <c r="C287" s="4" t="n">
        <f aca="false">B286</f>
        <v>0.0544</v>
      </c>
      <c r="D287" s="4" t="n">
        <f aca="false">B287-C287</f>
        <v>0.000399999999999998</v>
      </c>
      <c r="H287" s="8" t="n">
        <f aca="false">G10+G9*C287</f>
        <v>7.0942030901102E-005</v>
      </c>
      <c r="I287" s="8" t="n">
        <f aca="false">D287-H287</f>
        <v>0.000329057969098896</v>
      </c>
      <c r="J287" s="8" t="n">
        <f aca="false">C287+D287/(G12*G6)</f>
        <v>0.0662371232670711</v>
      </c>
      <c r="K287" s="4" t="n">
        <f aca="false">(A287-$A$2)/365</f>
        <v>1.17808219178082</v>
      </c>
      <c r="L287" s="8" t="n">
        <f aca="false">IFERROR(AVERAGE(J228:J287),"")</f>
        <v>0.0548527146122155</v>
      </c>
    </row>
    <row r="288" customFormat="false" ht="15" hidden="false" customHeight="false" outlineLevel="0" collapsed="false">
      <c r="A288" s="3" t="n">
        <v>45982</v>
      </c>
      <c r="B288" s="4" t="n">
        <f aca="false">0.0559</f>
        <v>0.0559</v>
      </c>
      <c r="C288" s="4" t="n">
        <f aca="false">B287</f>
        <v>0.0548</v>
      </c>
      <c r="D288" s="4" t="n">
        <f aca="false">B288-C288</f>
        <v>0.0011</v>
      </c>
      <c r="H288" s="8" t="n">
        <f aca="false">G10+G9*C288</f>
        <v>5.74252332476476E-005</v>
      </c>
      <c r="I288" s="8" t="n">
        <f aca="false">D288-H288</f>
        <v>0.00104257476675235</v>
      </c>
      <c r="J288" s="8" t="n">
        <f aca="false">C288+D288/(G12*G6)</f>
        <v>0.0873520889844456</v>
      </c>
      <c r="K288" s="4" t="n">
        <f aca="false">(A288-$A$2)/365</f>
        <v>1.18082191780822</v>
      </c>
      <c r="L288" s="8" t="n">
        <f aca="false">IFERROR(AVERAGE(J229:J288),"")</f>
        <v>0.0552406187211179</v>
      </c>
    </row>
    <row r="289" customFormat="false" ht="15" hidden="false" customHeight="false" outlineLevel="0" collapsed="false">
      <c r="A289" s="3" t="n">
        <v>45985</v>
      </c>
      <c r="B289" s="4" t="n">
        <f aca="false">0.0559</f>
        <v>0.0559</v>
      </c>
      <c r="C289" s="4" t="n">
        <f aca="false">B288</f>
        <v>0.0559</v>
      </c>
      <c r="D289" s="4" t="n">
        <f aca="false">B289-C289</f>
        <v>0</v>
      </c>
      <c r="H289" s="8" t="n">
        <f aca="false">G10+G9*C289</f>
        <v>2.02540397006477E-005</v>
      </c>
      <c r="I289" s="8" t="n">
        <f aca="false">D289-H289</f>
        <v>-2.02540397006477E-005</v>
      </c>
      <c r="J289" s="8" t="n">
        <f aca="false">C289+D289/(G12*G6)</f>
        <v>0.0559</v>
      </c>
      <c r="K289" s="4" t="n">
        <f aca="false">(A289-$A$2)/365</f>
        <v>1.18904109589041</v>
      </c>
      <c r="L289" s="8" t="n">
        <f aca="false">IFERROR(AVERAGE(J230:J289),"")</f>
        <v>0.0551486426938923</v>
      </c>
    </row>
    <row r="290" customFormat="false" ht="15" hidden="false" customHeight="false" outlineLevel="0" collapsed="false">
      <c r="A290" s="3" t="n">
        <v>45986</v>
      </c>
      <c r="B290" s="4" t="n">
        <f aca="false">0.0549</f>
        <v>0.0549</v>
      </c>
      <c r="C290" s="4" t="n">
        <f aca="false">B289</f>
        <v>0.0559</v>
      </c>
      <c r="D290" s="4" t="n">
        <f aca="false">B290-C290</f>
        <v>-0.000999999999999994</v>
      </c>
      <c r="H290" s="8" t="n">
        <f aca="false">G10+G9*C290</f>
        <v>2.02540397006477E-005</v>
      </c>
      <c r="I290" s="8" t="n">
        <f aca="false">D290-H290</f>
        <v>-0.00102025403970064</v>
      </c>
      <c r="J290" s="8" t="n">
        <f aca="false">C290+D290/(G12*G6)</f>
        <v>0.0263071918323223</v>
      </c>
      <c r="K290" s="4" t="n">
        <f aca="false">(A290-$A$2)/365</f>
        <v>1.19178082191781</v>
      </c>
      <c r="L290" s="8" t="n">
        <f aca="false">IFERROR(AVERAGE(J231:J290),"")</f>
        <v>0.0551026546802795</v>
      </c>
    </row>
    <row r="291" customFormat="false" ht="15" hidden="false" customHeight="false" outlineLevel="0" collapsed="false">
      <c r="A291" s="3" t="n">
        <v>45987</v>
      </c>
      <c r="B291" s="4" t="n">
        <f aca="false">0.0544</f>
        <v>0.0544</v>
      </c>
      <c r="C291" s="4" t="n">
        <f aca="false">B290</f>
        <v>0.0549</v>
      </c>
      <c r="D291" s="4" t="n">
        <f aca="false">B291-C291</f>
        <v>-0.0005</v>
      </c>
      <c r="H291" s="8" t="n">
        <f aca="false">G10+G9*C291</f>
        <v>5.4046033834284E-005</v>
      </c>
      <c r="I291" s="8" t="n">
        <f aca="false">D291-H291</f>
        <v>-0.000554046033834284</v>
      </c>
      <c r="J291" s="8" t="n">
        <f aca="false">C291+D291/(G12*G6)</f>
        <v>0.040103595916161</v>
      </c>
      <c r="K291" s="4" t="n">
        <f aca="false">(A291-$A$2)/365</f>
        <v>1.19452054794521</v>
      </c>
      <c r="L291" s="8" t="n">
        <f aca="false">IFERROR(AVERAGE(J232:J291),"")</f>
        <v>0.0548083932652694</v>
      </c>
    </row>
    <row r="292" customFormat="false" ht="15" hidden="false" customHeight="false" outlineLevel="0" collapsed="false">
      <c r="A292" s="3" t="n">
        <v>45988</v>
      </c>
      <c r="B292" s="4" t="n">
        <f aca="false">0.0544</f>
        <v>0.0544</v>
      </c>
      <c r="C292" s="4" t="n">
        <f aca="false">B291</f>
        <v>0.0544</v>
      </c>
      <c r="D292" s="4" t="n">
        <f aca="false">B292-C292</f>
        <v>0</v>
      </c>
      <c r="H292" s="8" t="n">
        <f aca="false">G10+G9*C292</f>
        <v>7.0942030901102E-005</v>
      </c>
      <c r="I292" s="8" t="n">
        <f aca="false">D292-H292</f>
        <v>-7.0942030901102E-005</v>
      </c>
      <c r="J292" s="8" t="n">
        <f aca="false">C292+D292/(G12*G6)</f>
        <v>0.0544</v>
      </c>
      <c r="K292" s="4" t="n">
        <f aca="false">(A292-$A$2)/365</f>
        <v>1.1972602739726</v>
      </c>
      <c r="L292" s="8" t="n">
        <f aca="false">IFERROR(AVERAGE(J233:J292),"")</f>
        <v>0.0546520958910976</v>
      </c>
    </row>
    <row r="293" customFormat="false" ht="15" hidden="false" customHeight="false" outlineLevel="0" collapsed="false">
      <c r="A293" s="3" t="n">
        <v>45989</v>
      </c>
      <c r="B293" s="4" t="n">
        <f aca="false">0.0559</f>
        <v>0.0559</v>
      </c>
      <c r="C293" s="4" t="n">
        <f aca="false">B292</f>
        <v>0.0544</v>
      </c>
      <c r="D293" s="4" t="n">
        <f aca="false">B293-C293</f>
        <v>0.00149999999999999</v>
      </c>
      <c r="H293" s="8" t="n">
        <f aca="false">G10+G9*C293</f>
        <v>7.0942030901102E-005</v>
      </c>
      <c r="I293" s="8" t="n">
        <f aca="false">D293-H293</f>
        <v>0.00142905796909889</v>
      </c>
      <c r="J293" s="8" t="n">
        <f aca="false">C293+D293/(G12*G6)</f>
        <v>0.0987892122515167</v>
      </c>
      <c r="K293" s="4" t="n">
        <f aca="false">(A293-$A$2)/365</f>
        <v>1.2</v>
      </c>
      <c r="L293" s="8" t="n">
        <f aca="false">IFERROR(AVERAGE(J234:J293),"")</f>
        <v>0.055279940068064</v>
      </c>
    </row>
    <row r="294" customFormat="false" ht="15" hidden="false" customHeight="false" outlineLevel="0" collapsed="false">
      <c r="A294" s="3" t="n">
        <v>45992</v>
      </c>
      <c r="B294" s="4" t="n">
        <f aca="false">0.0549</f>
        <v>0.0549</v>
      </c>
      <c r="C294" s="4" t="n">
        <f aca="false">B293</f>
        <v>0.0559</v>
      </c>
      <c r="D294" s="4" t="n">
        <f aca="false">B294-C294</f>
        <v>-0.000999999999999994</v>
      </c>
      <c r="H294" s="8" t="n">
        <f aca="false">G10+G9*C294</f>
        <v>2.02540397006477E-005</v>
      </c>
      <c r="I294" s="8" t="n">
        <f aca="false">D294-H294</f>
        <v>-0.00102025403970064</v>
      </c>
      <c r="J294" s="8" t="n">
        <f aca="false">C294+D294/(G12*G6)</f>
        <v>0.0263071918323223</v>
      </c>
      <c r="K294" s="4" t="n">
        <f aca="false">(A294-$A$2)/365</f>
        <v>1.20821917808219</v>
      </c>
      <c r="L294" s="8" t="n">
        <f aca="false">IFERROR(AVERAGE(J235:J294),"")</f>
        <v>0.0550416666666667</v>
      </c>
    </row>
    <row r="295" customFormat="false" ht="15" hidden="false" customHeight="false" outlineLevel="0" collapsed="false">
      <c r="A295" s="3" t="n">
        <v>45993</v>
      </c>
      <c r="B295" s="4" t="n">
        <f aca="false">0.0539</f>
        <v>0.0539</v>
      </c>
      <c r="C295" s="4" t="n">
        <f aca="false">B294</f>
        <v>0.0549</v>
      </c>
      <c r="D295" s="4" t="n">
        <f aca="false">B295-C295</f>
        <v>-0.00100000000000001</v>
      </c>
      <c r="H295" s="8" t="n">
        <f aca="false">G10+G9*C295</f>
        <v>5.4046033834284E-005</v>
      </c>
      <c r="I295" s="8" t="n">
        <f aca="false">D295-H295</f>
        <v>-0.00105404603383429</v>
      </c>
      <c r="J295" s="8" t="n">
        <f aca="false">C295+D295/(G12*G6)</f>
        <v>0.0253071918323219</v>
      </c>
      <c r="K295" s="4" t="n">
        <f aca="false">(A295-$A$2)/365</f>
        <v>1.21095890410959</v>
      </c>
      <c r="L295" s="8" t="n">
        <f aca="false">IFERROR(AVERAGE(J236:J295),"")</f>
        <v>0.054795059931936</v>
      </c>
    </row>
    <row r="296" customFormat="false" ht="15" hidden="false" customHeight="false" outlineLevel="0" collapsed="false">
      <c r="A296" s="3" t="n">
        <v>45994</v>
      </c>
      <c r="B296" s="4" t="n">
        <f aca="false">0.0539</f>
        <v>0.0539</v>
      </c>
      <c r="C296" s="4" t="n">
        <f aca="false">B295</f>
        <v>0.0539</v>
      </c>
      <c r="D296" s="4" t="n">
        <f aca="false">B296-C296</f>
        <v>0</v>
      </c>
      <c r="H296" s="8" t="n">
        <f aca="false">G10+G9*C296</f>
        <v>8.78380279679205E-005</v>
      </c>
      <c r="I296" s="8" t="n">
        <f aca="false">D296-H296</f>
        <v>-8.78380279679205E-005</v>
      </c>
      <c r="J296" s="8" t="n">
        <f aca="false">C296+D296/(G12*G6)</f>
        <v>0.0539</v>
      </c>
      <c r="K296" s="4" t="n">
        <f aca="false">(A296-$A$2)/365</f>
        <v>1.21369863013699</v>
      </c>
      <c r="L296" s="8" t="n">
        <f aca="false">IFERROR(AVERAGE(J237:J296),"")</f>
        <v>0.0550333333333333</v>
      </c>
    </row>
    <row r="297" customFormat="false" ht="15" hidden="false" customHeight="false" outlineLevel="0" collapsed="false">
      <c r="A297" s="3" t="n">
        <v>45995</v>
      </c>
      <c r="B297" s="4" t="n">
        <f aca="false">0.0547</f>
        <v>0.0547</v>
      </c>
      <c r="C297" s="4" t="n">
        <f aca="false">B296</f>
        <v>0.0539</v>
      </c>
      <c r="D297" s="4" t="n">
        <f aca="false">B297-C297</f>
        <v>0.000800000000000002</v>
      </c>
      <c r="H297" s="8" t="n">
        <f aca="false">G10+G9*C297</f>
        <v>8.78380279679205E-005</v>
      </c>
      <c r="I297" s="8" t="n">
        <f aca="false">D297-H297</f>
        <v>0.000712161972032082</v>
      </c>
      <c r="J297" s="8" t="n">
        <f aca="false">C297+D297/(G12*G6)</f>
        <v>0.0775742465341424</v>
      </c>
      <c r="K297" s="4" t="n">
        <f aca="false">(A297-$A$2)/365</f>
        <v>1.21643835616438</v>
      </c>
      <c r="L297" s="8" t="n">
        <f aca="false">IFERROR(AVERAGE(J238:J297),"")</f>
        <v>0.0553785827619562</v>
      </c>
    </row>
    <row r="298" customFormat="false" ht="15" hidden="false" customHeight="false" outlineLevel="0" collapsed="false">
      <c r="A298" s="3" t="n">
        <v>45996</v>
      </c>
      <c r="B298" s="4" t="n">
        <f aca="false">0.0536</f>
        <v>0.0536</v>
      </c>
      <c r="C298" s="4" t="n">
        <f aca="false">B297</f>
        <v>0.0547</v>
      </c>
      <c r="D298" s="4" t="n">
        <f aca="false">B298-C298</f>
        <v>-0.0011</v>
      </c>
      <c r="H298" s="8" t="n">
        <f aca="false">G10+G9*C298</f>
        <v>6.08044326610114E-005</v>
      </c>
      <c r="I298" s="8" t="n">
        <f aca="false">D298-H298</f>
        <v>-0.00116080443266101</v>
      </c>
      <c r="J298" s="8" t="n">
        <f aca="false">C298+D298/(G12*G6)</f>
        <v>0.0221479110155544</v>
      </c>
      <c r="K298" s="4" t="n">
        <f aca="false">(A298-$A$2)/365</f>
        <v>1.21917808219178</v>
      </c>
      <c r="L298" s="8" t="n">
        <f aca="false">IFERROR(AVERAGE(J239:J298),"")</f>
        <v>0.0548477146122155</v>
      </c>
    </row>
    <row r="299" customFormat="false" ht="15" hidden="false" customHeight="false" outlineLevel="0" collapsed="false">
      <c r="A299" s="3" t="n">
        <v>45999</v>
      </c>
      <c r="B299" s="4" t="n">
        <f aca="false">0.0524</f>
        <v>0.0524</v>
      </c>
      <c r="C299" s="4" t="n">
        <f aca="false">B298</f>
        <v>0.0536</v>
      </c>
      <c r="D299" s="4" t="n">
        <f aca="false">B299-C299</f>
        <v>-0.0012</v>
      </c>
      <c r="H299" s="8" t="n">
        <f aca="false">G10+G9*C299</f>
        <v>9.79756262080114E-005</v>
      </c>
      <c r="I299" s="8" t="n">
        <f aca="false">D299-H299</f>
        <v>-0.00129797562620801</v>
      </c>
      <c r="J299" s="8" t="n">
        <f aca="false">C299+D299/(G12*G6)</f>
        <v>0.0180886301987865</v>
      </c>
      <c r="K299" s="4" t="n">
        <f aca="false">(A299-$A$2)/365</f>
        <v>1.22739726027397</v>
      </c>
      <c r="L299" s="8" t="n">
        <f aca="false">IFERROR(AVERAGE(J240:J299),"")</f>
        <v>0.0542985131291414</v>
      </c>
    </row>
    <row r="300" customFormat="false" ht="15" hidden="false" customHeight="false" outlineLevel="0" collapsed="false">
      <c r="A300" s="3" t="n">
        <v>46000</v>
      </c>
      <c r="B300" s="4" t="n">
        <f aca="false">0.0524</f>
        <v>0.0524</v>
      </c>
      <c r="C300" s="4" t="n">
        <f aca="false">B299</f>
        <v>0.0524</v>
      </c>
      <c r="D300" s="4" t="n">
        <f aca="false">B300-C300</f>
        <v>0</v>
      </c>
      <c r="H300" s="8" t="n">
        <f aca="false">G10+G9*C300</f>
        <v>0.000138526019168375</v>
      </c>
      <c r="I300" s="8" t="n">
        <f aca="false">D300-H300</f>
        <v>-0.000138526019168375</v>
      </c>
      <c r="J300" s="8" t="n">
        <f aca="false">C300+D300/(G12*G6)</f>
        <v>0.0524</v>
      </c>
      <c r="K300" s="4" t="n">
        <f aca="false">(A300-$A$2)/365</f>
        <v>1.23013698630137</v>
      </c>
      <c r="L300" s="8" t="n">
        <f aca="false">IFERROR(AVERAGE(J241:J300),"")</f>
        <v>0.0542735131291414</v>
      </c>
    </row>
    <row r="301" customFormat="false" ht="15" hidden="false" customHeight="false" outlineLevel="0" collapsed="false">
      <c r="A301" s="3" t="n">
        <v>46001</v>
      </c>
      <c r="B301" s="4" t="n">
        <f aca="false">0.0524</f>
        <v>0.0524</v>
      </c>
      <c r="C301" s="4" t="n">
        <f aca="false">B300</f>
        <v>0.0524</v>
      </c>
      <c r="D301" s="4" t="n">
        <f aca="false">B301-C301</f>
        <v>0</v>
      </c>
      <c r="H301" s="8" t="n">
        <f aca="false">G10+G9*C301</f>
        <v>0.000138526019168375</v>
      </c>
      <c r="I301" s="8" t="n">
        <f aca="false">D301-H301</f>
        <v>-0.000138526019168375</v>
      </c>
      <c r="J301" s="8" t="n">
        <f aca="false">C301+D301/(G12*G6)</f>
        <v>0.0524</v>
      </c>
      <c r="K301" s="4" t="n">
        <f aca="false">(A301-$A$2)/365</f>
        <v>1.23287671232877</v>
      </c>
      <c r="L301" s="8" t="n">
        <f aca="false">IFERROR(AVERAGE(J242:J301),"")</f>
        <v>0.0542485131291414</v>
      </c>
    </row>
    <row r="302" customFormat="false" ht="15" hidden="false" customHeight="false" outlineLevel="0" collapsed="false">
      <c r="A302" s="3" t="n">
        <v>46002</v>
      </c>
      <c r="B302" s="4" t="n">
        <f aca="false">0.0524</f>
        <v>0.0524</v>
      </c>
      <c r="C302" s="4" t="n">
        <f aca="false">B301</f>
        <v>0.0524</v>
      </c>
      <c r="D302" s="4" t="n">
        <f aca="false">B302-C302</f>
        <v>0</v>
      </c>
      <c r="H302" s="8" t="n">
        <f aca="false">G10+G9*C302</f>
        <v>0.000138526019168375</v>
      </c>
      <c r="I302" s="8" t="n">
        <f aca="false">D302-H302</f>
        <v>-0.000138526019168375</v>
      </c>
      <c r="J302" s="8" t="n">
        <f aca="false">C302+D302/(G12*G6)</f>
        <v>0.0524</v>
      </c>
      <c r="K302" s="4" t="n">
        <f aca="false">(A302-$A$2)/365</f>
        <v>1.23561643835616</v>
      </c>
      <c r="L302" s="8" t="n">
        <f aca="false">IFERROR(AVERAGE(J243:J302),"")</f>
        <v>0.0538289423535724</v>
      </c>
    </row>
    <row r="303" customFormat="false" ht="15" hidden="false" customHeight="false" outlineLevel="0" collapsed="false">
      <c r="A303" s="3" t="n">
        <v>46003</v>
      </c>
      <c r="B303" s="4" t="n">
        <f aca="false">0.0524</f>
        <v>0.0524</v>
      </c>
      <c r="C303" s="4" t="n">
        <f aca="false">B302</f>
        <v>0.0524</v>
      </c>
      <c r="D303" s="4" t="n">
        <f aca="false">B303-C303</f>
        <v>0</v>
      </c>
      <c r="H303" s="8" t="n">
        <f aca="false">G10+G9*C303</f>
        <v>0.000138526019168375</v>
      </c>
      <c r="I303" s="8" t="n">
        <f aca="false">D303-H303</f>
        <v>-0.000138526019168375</v>
      </c>
      <c r="J303" s="8" t="n">
        <f aca="false">C303+D303/(G12*G6)</f>
        <v>0.0524</v>
      </c>
      <c r="K303" s="4" t="n">
        <f aca="false">(A303-$A$2)/365</f>
        <v>1.23835616438356</v>
      </c>
      <c r="L303" s="8" t="n">
        <f aca="false">IFERROR(AVERAGE(J244:J303),"")</f>
        <v>0.0537412876732929</v>
      </c>
    </row>
    <row r="304" customFormat="false" ht="15" hidden="false" customHeight="false" outlineLevel="0" collapsed="false">
      <c r="A304" s="3" t="n">
        <v>46006</v>
      </c>
      <c r="B304" s="4" t="n">
        <f aca="false">0.053</f>
        <v>0.053</v>
      </c>
      <c r="C304" s="4" t="n">
        <f aca="false">B303</f>
        <v>0.0524</v>
      </c>
      <c r="D304" s="4" t="n">
        <f aca="false">B304-C304</f>
        <v>0.000599999999999996</v>
      </c>
      <c r="H304" s="8" t="n">
        <f aca="false">G10+G9*C304</f>
        <v>0.000138526019168375</v>
      </c>
      <c r="I304" s="8" t="n">
        <f aca="false">D304-H304</f>
        <v>0.000461473980831621</v>
      </c>
      <c r="J304" s="8" t="n">
        <f aca="false">C304+D304/(G12*G6)</f>
        <v>0.0701556849006066</v>
      </c>
      <c r="K304" s="4" t="n">
        <f aca="false">(A304-$A$2)/365</f>
        <v>1.24657534246575</v>
      </c>
      <c r="L304" s="8" t="n">
        <f aca="false">IFERROR(AVERAGE(J245:J304),"")</f>
        <v>0.0539972157549697</v>
      </c>
    </row>
    <row r="305" customFormat="false" ht="15" hidden="false" customHeight="false" outlineLevel="0" collapsed="false">
      <c r="A305" s="3" t="n">
        <v>46007</v>
      </c>
      <c r="B305" s="4" t="n">
        <f aca="false">0.0546</f>
        <v>0.0546</v>
      </c>
      <c r="C305" s="4" t="n">
        <f aca="false">B304</f>
        <v>0.053</v>
      </c>
      <c r="D305" s="4" t="n">
        <f aca="false">B305-C305</f>
        <v>0.0016</v>
      </c>
      <c r="H305" s="8" t="n">
        <f aca="false">G10+G9*C305</f>
        <v>0.000118250822688193</v>
      </c>
      <c r="I305" s="8" t="n">
        <f aca="false">D305-H305</f>
        <v>0.00148174917731181</v>
      </c>
      <c r="J305" s="8" t="n">
        <f aca="false">C305+D305/(G12*G6)</f>
        <v>0.100348493068285</v>
      </c>
      <c r="K305" s="4" t="n">
        <f aca="false">(A305-$A$2)/365</f>
        <v>1.24931506849315</v>
      </c>
      <c r="L305" s="8" t="n">
        <f aca="false">IFERROR(AVERAGE(J246:J305),"")</f>
        <v>0.0547070359591616</v>
      </c>
    </row>
    <row r="306" customFormat="false" ht="15" hidden="false" customHeight="false" outlineLevel="0" collapsed="false">
      <c r="A306" s="3" t="n">
        <v>46008</v>
      </c>
      <c r="B306" s="4" t="n">
        <f aca="false">0.0555</f>
        <v>0.0555</v>
      </c>
      <c r="C306" s="4" t="n">
        <f aca="false">B305</f>
        <v>0.0546</v>
      </c>
      <c r="D306" s="4" t="n">
        <f aca="false">B306-C306</f>
        <v>0.000899999999999998</v>
      </c>
      <c r="H306" s="8" t="n">
        <f aca="false">G10+G9*C306</f>
        <v>6.41836320743748E-005</v>
      </c>
      <c r="I306" s="8" t="n">
        <f aca="false">D306-H306</f>
        <v>0.000835816367925623</v>
      </c>
      <c r="J306" s="8" t="n">
        <f aca="false">C306+D306/(G12*G6)</f>
        <v>0.0812335273509101</v>
      </c>
      <c r="K306" s="4" t="n">
        <f aca="false">(A306-$A$2)/365</f>
        <v>1.25205479452055</v>
      </c>
      <c r="L306" s="8" t="n">
        <f aca="false">IFERROR(AVERAGE(J247:J306),"")</f>
        <v>0.0546033932652694</v>
      </c>
    </row>
    <row r="307" customFormat="false" ht="15" hidden="false" customHeight="false" outlineLevel="0" collapsed="false">
      <c r="A307" s="3" t="n">
        <v>46009</v>
      </c>
      <c r="B307" s="4" t="n">
        <f aca="false">0.0544</f>
        <v>0.0544</v>
      </c>
      <c r="C307" s="4" t="n">
        <f aca="false">B306</f>
        <v>0.0555</v>
      </c>
      <c r="D307" s="4" t="n">
        <f aca="false">B307-C307</f>
        <v>-0.0011</v>
      </c>
      <c r="H307" s="8" t="n">
        <f aca="false">G10+G9*C307</f>
        <v>3.37708373541021E-005</v>
      </c>
      <c r="I307" s="8" t="n">
        <f aca="false">D307-H307</f>
        <v>-0.0011337708373541</v>
      </c>
      <c r="J307" s="8" t="n">
        <f aca="false">C307+D307/(G12*G6)</f>
        <v>0.0229479110155544</v>
      </c>
      <c r="K307" s="4" t="n">
        <f aca="false">(A307-$A$2)/365</f>
        <v>1.25479452054795</v>
      </c>
      <c r="L307" s="8" t="n">
        <f aca="false">IFERROR(AVERAGE(J248:J307),"")</f>
        <v>0.0541511678094209</v>
      </c>
    </row>
    <row r="308" customFormat="false" ht="15" hidden="false" customHeight="false" outlineLevel="0" collapsed="false">
      <c r="A308" s="3" t="n">
        <v>46010</v>
      </c>
      <c r="B308" s="4" t="n">
        <f aca="false">0.0543</f>
        <v>0.0543</v>
      </c>
      <c r="C308" s="4" t="n">
        <f aca="false">B307</f>
        <v>0.0544</v>
      </c>
      <c r="D308" s="4" t="n">
        <f aca="false">B308-C308</f>
        <v>-0.00010000000000001</v>
      </c>
      <c r="H308" s="8" t="n">
        <f aca="false">G10+G9*C308</f>
        <v>7.0942030901102E-005</v>
      </c>
      <c r="I308" s="8" t="n">
        <f aca="false">D308-H308</f>
        <v>-0.000170942030901112</v>
      </c>
      <c r="J308" s="8" t="n">
        <f aca="false">C308+D308/(G12*G6)</f>
        <v>0.0514407191832319</v>
      </c>
      <c r="K308" s="4" t="n">
        <f aca="false">(A308-$A$2)/365</f>
        <v>1.25753424657534</v>
      </c>
      <c r="L308" s="8" t="n">
        <f aca="false">IFERROR(AVERAGE(J249:J308),"")</f>
        <v>0.0540785131291414</v>
      </c>
    </row>
    <row r="309" customFormat="false" ht="15" hidden="false" customHeight="false" outlineLevel="0" collapsed="false">
      <c r="A309" s="3" t="n">
        <v>46013</v>
      </c>
      <c r="B309" s="4" t="n">
        <f aca="false">0.0544</f>
        <v>0.0544</v>
      </c>
      <c r="C309" s="4" t="n">
        <f aca="false">B308</f>
        <v>0.0543</v>
      </c>
      <c r="D309" s="4" t="n">
        <f aca="false">B309-C309</f>
        <v>0.00010000000000001</v>
      </c>
      <c r="H309" s="8" t="n">
        <f aca="false">G10+G9*C309</f>
        <v>7.43212303144661E-005</v>
      </c>
      <c r="I309" s="8" t="n">
        <f aca="false">D309-H309</f>
        <v>2.56787696855437E-005</v>
      </c>
      <c r="J309" s="8" t="n">
        <f aca="false">C309+D309/(G12*G6)</f>
        <v>0.0572592808167681</v>
      </c>
      <c r="K309" s="4" t="n">
        <f aca="false">(A309-$A$2)/365</f>
        <v>1.26575342465753</v>
      </c>
      <c r="L309" s="8" t="n">
        <f aca="false">IFERROR(AVERAGE(J250:J309),"")</f>
        <v>0.0536096210066262</v>
      </c>
    </row>
    <row r="310" customFormat="false" ht="15" hidden="false" customHeight="false" outlineLevel="0" collapsed="false">
      <c r="A310" s="3" t="n">
        <v>46014</v>
      </c>
      <c r="B310" s="4" t="n">
        <f aca="false">0.055</f>
        <v>0.055</v>
      </c>
      <c r="C310" s="4" t="n">
        <f aca="false">B309</f>
        <v>0.0544</v>
      </c>
      <c r="D310" s="4" t="n">
        <f aca="false">B310-C310</f>
        <v>0.000599999999999996</v>
      </c>
      <c r="H310" s="8" t="n">
        <f aca="false">G10+G9*C310</f>
        <v>7.0942030901102E-005</v>
      </c>
      <c r="I310" s="8" t="n">
        <f aca="false">D310-H310</f>
        <v>0.000529057969098894</v>
      </c>
      <c r="J310" s="8" t="n">
        <f aca="false">C310+D310/(G12*G6)</f>
        <v>0.0721556849006066</v>
      </c>
      <c r="K310" s="4" t="n">
        <f aca="false">(A310-$A$2)/365</f>
        <v>1.26849315068493</v>
      </c>
      <c r="L310" s="8" t="n">
        <f aca="false">IFERROR(AVERAGE(J251:J310),"")</f>
        <v>0.0543587625577643</v>
      </c>
    </row>
    <row r="311" customFormat="false" ht="15" hidden="false" customHeight="false" outlineLevel="0" collapsed="false">
      <c r="A311" s="3" t="n">
        <v>46015</v>
      </c>
      <c r="B311" s="4" t="n">
        <f aca="false">0.0553</f>
        <v>0.0553</v>
      </c>
      <c r="C311" s="4" t="n">
        <f aca="false">B310</f>
        <v>0.055</v>
      </c>
      <c r="D311" s="4" t="n">
        <f aca="false">B311-C311</f>
        <v>0.000300000000000002</v>
      </c>
      <c r="H311" s="8" t="n">
        <f aca="false">G10+G9*C311</f>
        <v>5.06668344209204E-005</v>
      </c>
      <c r="I311" s="8" t="n">
        <f aca="false">D311-H311</f>
        <v>0.000249333165579081</v>
      </c>
      <c r="J311" s="8" t="n">
        <f aca="false">C311+D311/(G12*G6)</f>
        <v>0.0638778424503034</v>
      </c>
      <c r="K311" s="4" t="n">
        <f aca="false">(A311-$A$2)/365</f>
        <v>1.27123287671233</v>
      </c>
      <c r="L311" s="8" t="n">
        <f aca="false">IFERROR(AVERAGE(J252:J311),"")</f>
        <v>0.0542467865305387</v>
      </c>
    </row>
    <row r="312" customFormat="false" ht="15" hidden="false" customHeight="false" outlineLevel="0" collapsed="false">
      <c r="A312" s="3" t="n">
        <v>46017</v>
      </c>
      <c r="B312" s="4" t="n">
        <f aca="false">0.0554</f>
        <v>0.0554</v>
      </c>
      <c r="C312" s="4" t="n">
        <f aca="false">B311</f>
        <v>0.0553</v>
      </c>
      <c r="D312" s="4" t="n">
        <f aca="false">B312-C312</f>
        <v>9.99999999999959E-005</v>
      </c>
      <c r="H312" s="8" t="n">
        <f aca="false">G10+G9*C312</f>
        <v>4.05292361808293E-005</v>
      </c>
      <c r="I312" s="8" t="n">
        <f aca="false">D312-H312</f>
        <v>5.94707638191666E-005</v>
      </c>
      <c r="J312" s="8" t="n">
        <f aca="false">C312+D312/(G12*G6)</f>
        <v>0.0582592808167677</v>
      </c>
      <c r="K312" s="4" t="n">
        <f aca="false">(A312-$A$2)/365</f>
        <v>1.27671232876712</v>
      </c>
      <c r="L312" s="8" t="n">
        <f aca="false">IFERROR(AVERAGE(J253:J312),"")</f>
        <v>0.054230119863872</v>
      </c>
    </row>
    <row r="313" customFormat="false" ht="15" hidden="false" customHeight="false" outlineLevel="0" collapsed="false">
      <c r="A313" s="3" t="n">
        <v>46020</v>
      </c>
      <c r="B313" s="4" t="n">
        <f aca="false">0.0557</f>
        <v>0.0557</v>
      </c>
      <c r="C313" s="4" t="n">
        <f aca="false">B312</f>
        <v>0.0554</v>
      </c>
      <c r="D313" s="4" t="n">
        <f aca="false">B313-C313</f>
        <v>0.000300000000000002</v>
      </c>
      <c r="H313" s="8" t="n">
        <f aca="false">G10+G9*C313</f>
        <v>3.71500367674659E-005</v>
      </c>
      <c r="I313" s="8" t="n">
        <f aca="false">D313-H313</f>
        <v>0.000262849963232536</v>
      </c>
      <c r="J313" s="8" t="n">
        <f aca="false">C313+D313/(G12*G6)</f>
        <v>0.0642778424503034</v>
      </c>
      <c r="K313" s="4" t="n">
        <f aca="false">(A313-$A$2)/365</f>
        <v>1.28493150684932</v>
      </c>
      <c r="L313" s="8" t="n">
        <f aca="false">IFERROR(AVERAGE(J254:J313),"")</f>
        <v>0.0546080239727744</v>
      </c>
    </row>
    <row r="314" customFormat="false" ht="15" hidden="false" customHeight="false" outlineLevel="0" collapsed="false">
      <c r="A314" s="3" t="n">
        <v>46021</v>
      </c>
      <c r="B314" s="4" t="n">
        <f aca="false">0.0557</f>
        <v>0.0557</v>
      </c>
      <c r="C314" s="4" t="n">
        <f aca="false">B313</f>
        <v>0.0557</v>
      </c>
      <c r="D314" s="4" t="n">
        <f aca="false">B314-C314</f>
        <v>0</v>
      </c>
      <c r="H314" s="8" t="n">
        <f aca="false">G10+G9*C314</f>
        <v>2.70124385273749E-005</v>
      </c>
      <c r="I314" s="8" t="n">
        <f aca="false">D314-H314</f>
        <v>-2.70124385273749E-005</v>
      </c>
      <c r="J314" s="8" t="n">
        <f aca="false">C314+D314/(G12*G6)</f>
        <v>0.0557</v>
      </c>
      <c r="K314" s="4" t="n">
        <f aca="false">(A314-$A$2)/365</f>
        <v>1.28767123287671</v>
      </c>
      <c r="L314" s="8" t="n">
        <f aca="false">IFERROR(AVERAGE(J255:J314),"")</f>
        <v>0.0538648704352491</v>
      </c>
    </row>
    <row r="315" customFormat="false" ht="15" hidden="false" customHeight="false" outlineLevel="0" collapsed="false">
      <c r="A315" s="3" t="n">
        <v>46022</v>
      </c>
      <c r="B315" s="4" t="n">
        <f aca="false">0.0567</f>
        <v>0.0567</v>
      </c>
      <c r="C315" s="4" t="n">
        <f aca="false">B314</f>
        <v>0.0557</v>
      </c>
      <c r="D315" s="4" t="n">
        <f aca="false">B315-C315</f>
        <v>0.001</v>
      </c>
      <c r="H315" s="8" t="n">
        <f aca="false">G10+G9*C315</f>
        <v>2.70124385273749E-005</v>
      </c>
      <c r="I315" s="8" t="n">
        <f aca="false">D315-H315</f>
        <v>0.000972987561472626</v>
      </c>
      <c r="J315" s="8" t="n">
        <f aca="false">C315+D315/(G12*G6)</f>
        <v>0.085292808167678</v>
      </c>
      <c r="K315" s="4" t="n">
        <f aca="false">(A315-$A$2)/365</f>
        <v>1.29041095890411</v>
      </c>
      <c r="L315" s="8" t="n">
        <f aca="false">IFERROR(AVERAGE(J256:J315),"")</f>
        <v>0.0560066763675455</v>
      </c>
    </row>
    <row r="316" customFormat="false" ht="15" hidden="false" customHeight="false" outlineLevel="0" collapsed="false">
      <c r="A316" s="3" t="n">
        <v>46023</v>
      </c>
      <c r="B316" s="4" t="n">
        <f aca="false">0.0544</f>
        <v>0.0544</v>
      </c>
      <c r="C316" s="4" t="n">
        <f aca="false">B315</f>
        <v>0.0567</v>
      </c>
      <c r="D316" s="4" t="n">
        <f aca="false">B316-C316</f>
        <v>-0.0023</v>
      </c>
      <c r="H316" s="8" t="n">
        <f aca="false">G10+G9*C316</f>
        <v>-6.77955560626146E-006</v>
      </c>
      <c r="I316" s="8" t="n">
        <f aca="false">D316-H316</f>
        <v>-0.00229322044439374</v>
      </c>
      <c r="J316" s="8" t="n">
        <f aca="false">C316+D316/(G12*G6)</f>
        <v>-0.0113634587856591</v>
      </c>
      <c r="K316" s="4" t="n">
        <f aca="false">(A316-$A$2)/365</f>
        <v>1.29315068493151</v>
      </c>
      <c r="L316" s="8" t="n">
        <f aca="false">IFERROR(AVERAGE(J257:J316),"")</f>
        <v>0.0549172853877845</v>
      </c>
    </row>
    <row r="317" customFormat="false" ht="15" hidden="false" customHeight="false" outlineLevel="0" collapsed="false">
      <c r="A317" s="3" t="n">
        <v>46024</v>
      </c>
      <c r="B317" s="4" t="n">
        <f aca="false">0.0544</f>
        <v>0.0544</v>
      </c>
      <c r="C317" s="4" t="n">
        <f aca="false">B316</f>
        <v>0.0544</v>
      </c>
      <c r="D317" s="4" t="n">
        <f aca="false">B317-C317</f>
        <v>0</v>
      </c>
      <c r="H317" s="8" t="n">
        <f aca="false">G10+G9*C317</f>
        <v>7.0942030901102E-005</v>
      </c>
      <c r="I317" s="8" t="n">
        <f aca="false">D317-H317</f>
        <v>-7.0942030901102E-005</v>
      </c>
      <c r="J317" s="8" t="n">
        <f aca="false">C317+D317/(G12*G6)</f>
        <v>0.0544</v>
      </c>
      <c r="K317" s="4" t="n">
        <f aca="false">(A317-$A$2)/365</f>
        <v>1.2958904109589</v>
      </c>
      <c r="L317" s="8" t="n">
        <f aca="false">IFERROR(AVERAGE(J258:J317),"")</f>
        <v>0.0549732734013973</v>
      </c>
    </row>
    <row r="318" customFormat="false" ht="15" hidden="false" customHeight="false" outlineLevel="0" collapsed="false">
      <c r="A318" s="3" t="n">
        <v>46027</v>
      </c>
      <c r="B318" s="4" t="n">
        <f aca="false">0.0549</f>
        <v>0.0549</v>
      </c>
      <c r="C318" s="4" t="n">
        <f aca="false">B317</f>
        <v>0.0544</v>
      </c>
      <c r="D318" s="4" t="n">
        <f aca="false">B318-C318</f>
        <v>0.0005</v>
      </c>
      <c r="H318" s="8" t="n">
        <f aca="false">G10+G9*C318</f>
        <v>7.0942030901102E-005</v>
      </c>
      <c r="I318" s="8" t="n">
        <f aca="false">D318-H318</f>
        <v>0.000429057969098898</v>
      </c>
      <c r="J318" s="8" t="n">
        <f aca="false">C318+D318/(G12*G6)</f>
        <v>0.069196404083839</v>
      </c>
      <c r="K318" s="4" t="n">
        <f aca="false">(A318-$A$2)/365</f>
        <v>1.3041095890411</v>
      </c>
      <c r="L318" s="8" t="n">
        <f aca="false">IFERROR(AVERAGE(J259:J318),"")</f>
        <v>0.0552282134694613</v>
      </c>
    </row>
    <row r="319" customFormat="false" ht="15" hidden="false" customHeight="false" outlineLevel="0" collapsed="false">
      <c r="A319" s="3" t="n">
        <v>46028</v>
      </c>
      <c r="B319" s="4" t="n">
        <f aca="false">0.0539</f>
        <v>0.0539</v>
      </c>
      <c r="C319" s="4" t="n">
        <f aca="false">B318</f>
        <v>0.0549</v>
      </c>
      <c r="D319" s="4" t="n">
        <f aca="false">B319-C319</f>
        <v>-0.00100000000000001</v>
      </c>
      <c r="H319" s="8" t="n">
        <f aca="false">G10+G9*C319</f>
        <v>5.4046033834284E-005</v>
      </c>
      <c r="I319" s="8" t="n">
        <f aca="false">D319-H319</f>
        <v>-0.00105404603383429</v>
      </c>
      <c r="J319" s="8" t="n">
        <f aca="false">C319+D319/(G12*G6)</f>
        <v>0.0253071918323219</v>
      </c>
      <c r="K319" s="4" t="n">
        <f aca="false">(A319-$A$2)/365</f>
        <v>1.30684931506849</v>
      </c>
      <c r="L319" s="8" t="n">
        <f aca="false">IFERROR(AVERAGE(J260:J319),"")</f>
        <v>0.0547516666666667</v>
      </c>
    </row>
    <row r="320" customFormat="false" ht="15" hidden="false" customHeight="false" outlineLevel="0" collapsed="false">
      <c r="A320" s="3" t="n">
        <v>46029</v>
      </c>
      <c r="B320" s="4" t="n">
        <f aca="false">0.0534</f>
        <v>0.0534</v>
      </c>
      <c r="C320" s="4" t="n">
        <f aca="false">B319</f>
        <v>0.0539</v>
      </c>
      <c r="D320" s="4" t="n">
        <f aca="false">B320-C320</f>
        <v>-0.0005</v>
      </c>
      <c r="H320" s="8" t="n">
        <f aca="false">G10+G9*C320</f>
        <v>8.78380279679205E-005</v>
      </c>
      <c r="I320" s="8" t="n">
        <f aca="false">D320-H320</f>
        <v>-0.000587838027967921</v>
      </c>
      <c r="J320" s="8" t="n">
        <f aca="false">C320+D320/(G12*G6)</f>
        <v>0.039103595916161</v>
      </c>
      <c r="K320" s="4" t="n">
        <f aca="false">(A320-$A$2)/365</f>
        <v>1.30958904109589</v>
      </c>
      <c r="L320" s="8" t="n">
        <f aca="false">IFERROR(AVERAGE(J261:J320),"")</f>
        <v>0.0539625251155286</v>
      </c>
    </row>
    <row r="321" customFormat="false" ht="15" hidden="false" customHeight="false" outlineLevel="0" collapsed="false">
      <c r="A321" s="3" t="n">
        <v>46030</v>
      </c>
      <c r="B321" s="4" t="n">
        <f aca="false">0.0544</f>
        <v>0.0544</v>
      </c>
      <c r="C321" s="4" t="n">
        <f aca="false">B320</f>
        <v>0.0534</v>
      </c>
      <c r="D321" s="4" t="n">
        <f aca="false">B321-C321</f>
        <v>0.00100000000000001</v>
      </c>
      <c r="H321" s="8" t="n">
        <f aca="false">G10+G9*C321</f>
        <v>0.000104734025034739</v>
      </c>
      <c r="I321" s="8" t="n">
        <f aca="false">D321-H321</f>
        <v>0.000895265974965269</v>
      </c>
      <c r="J321" s="8" t="n">
        <f aca="false">C321+D321/(G12*G6)</f>
        <v>0.0829928081676782</v>
      </c>
      <c r="K321" s="4" t="n">
        <f aca="false">(A321-$A$2)/365</f>
        <v>1.31232876712329</v>
      </c>
      <c r="L321" s="8" t="n">
        <f aca="false">IFERROR(AVERAGE(J262:J321),"")</f>
        <v>0.0536399303671851</v>
      </c>
    </row>
    <row r="322" customFormat="false" ht="15" hidden="false" customHeight="false" outlineLevel="0" collapsed="false">
      <c r="A322" s="3" t="n">
        <v>46031</v>
      </c>
      <c r="B322" s="4" t="n">
        <f aca="false">0.0554</f>
        <v>0.0554</v>
      </c>
      <c r="C322" s="4" t="n">
        <f aca="false">B321</f>
        <v>0.0544</v>
      </c>
      <c r="D322" s="4" t="n">
        <f aca="false">B322-C322</f>
        <v>0.000999999999999994</v>
      </c>
      <c r="H322" s="8" t="n">
        <f aca="false">G10+G9*C322</f>
        <v>7.0942030901102E-005</v>
      </c>
      <c r="I322" s="8" t="n">
        <f aca="false">D322-H322</f>
        <v>0.000929057969098892</v>
      </c>
      <c r="J322" s="8" t="n">
        <f aca="false">C322+D322/(G12*G6)</f>
        <v>0.0839928081676778</v>
      </c>
      <c r="K322" s="4" t="n">
        <f aca="false">(A322-$A$2)/365</f>
        <v>1.31506849315068</v>
      </c>
      <c r="L322" s="8" t="n">
        <f aca="false">IFERROR(AVERAGE(J263:J322),"")</f>
        <v>0.0546883333333333</v>
      </c>
    </row>
    <row r="323" customFormat="false" ht="15" hidden="false" customHeight="false" outlineLevel="0" collapsed="false">
      <c r="A323" s="3" t="n">
        <v>46034</v>
      </c>
      <c r="B323" s="4" t="n">
        <f aca="false">0.0539</f>
        <v>0.0539</v>
      </c>
      <c r="C323" s="4" t="n">
        <f aca="false">B322</f>
        <v>0.0554</v>
      </c>
      <c r="D323" s="4" t="n">
        <f aca="false">B323-C323</f>
        <v>-0.0015</v>
      </c>
      <c r="H323" s="8" t="n">
        <f aca="false">G10+G9*C323</f>
        <v>3.71500367674659E-005</v>
      </c>
      <c r="I323" s="8" t="n">
        <f aca="false">D323-H323</f>
        <v>-0.00153715003676747</v>
      </c>
      <c r="J323" s="8" t="n">
        <f aca="false">C323+D323/(G12*G6)</f>
        <v>0.0110107877484831</v>
      </c>
      <c r="K323" s="4" t="n">
        <f aca="false">(A323-$A$2)/365</f>
        <v>1.32328767123288</v>
      </c>
      <c r="L323" s="8" t="n">
        <f aca="false">IFERROR(AVERAGE(J264:J323),"")</f>
        <v>0.0542444412108182</v>
      </c>
    </row>
    <row r="324" customFormat="false" ht="15" hidden="false" customHeight="false" outlineLevel="0" collapsed="false">
      <c r="A324" s="3" t="n">
        <v>46035</v>
      </c>
      <c r="B324" s="4" t="n">
        <f aca="false">0.0539</f>
        <v>0.0539</v>
      </c>
      <c r="C324" s="4" t="n">
        <f aca="false">B323</f>
        <v>0.0539</v>
      </c>
      <c r="D324" s="4" t="n">
        <f aca="false">B324-C324</f>
        <v>0</v>
      </c>
      <c r="H324" s="8" t="n">
        <f aca="false">G10+G9*C324</f>
        <v>8.78380279679205E-005</v>
      </c>
      <c r="I324" s="8" t="n">
        <f aca="false">D324-H324</f>
        <v>-8.78380279679205E-005</v>
      </c>
      <c r="J324" s="8" t="n">
        <f aca="false">C324+D324/(G12*G6)</f>
        <v>0.0539</v>
      </c>
      <c r="K324" s="4" t="n">
        <f aca="false">(A324-$A$2)/365</f>
        <v>1.32602739726027</v>
      </c>
      <c r="L324" s="8" t="n">
        <f aca="false">IFERROR(AVERAGE(J265:J324),"")</f>
        <v>0.0545746906394411</v>
      </c>
    </row>
    <row r="325" customFormat="false" ht="15" hidden="false" customHeight="false" outlineLevel="0" collapsed="false">
      <c r="A325" s="3" t="n">
        <v>46036</v>
      </c>
      <c r="B325" s="4" t="n">
        <f aca="false">0.0543</f>
        <v>0.0543</v>
      </c>
      <c r="C325" s="4" t="n">
        <f aca="false">B324</f>
        <v>0.0539</v>
      </c>
      <c r="D325" s="4" t="n">
        <f aca="false">B325-C325</f>
        <v>0.000399999999999998</v>
      </c>
      <c r="H325" s="8" t="n">
        <f aca="false">G10+G9*C325</f>
        <v>8.78380279679205E-005</v>
      </c>
      <c r="I325" s="8" t="n">
        <f aca="false">D325-H325</f>
        <v>0.000312161972032077</v>
      </c>
      <c r="J325" s="8" t="n">
        <f aca="false">C325+D325/(G12*G6)</f>
        <v>0.0657371232670711</v>
      </c>
      <c r="K325" s="4" t="n">
        <f aca="false">(A325-$A$2)/365</f>
        <v>1.32876712328767</v>
      </c>
      <c r="L325" s="8" t="n">
        <f aca="false">IFERROR(AVERAGE(J266:J325),"")</f>
        <v>0.0545713573061077</v>
      </c>
    </row>
    <row r="326" customFormat="false" ht="15" hidden="false" customHeight="false" outlineLevel="0" collapsed="false">
      <c r="A326" s="3" t="n">
        <v>46038</v>
      </c>
      <c r="B326" s="4" t="n">
        <f aca="false">0.0546</f>
        <v>0.0546</v>
      </c>
      <c r="C326" s="4" t="n">
        <f aca="false">B325</f>
        <v>0.0543</v>
      </c>
      <c r="D326" s="4" t="n">
        <f aca="false">B326-C326</f>
        <v>0.000300000000000009</v>
      </c>
      <c r="H326" s="8" t="n">
        <f aca="false">G10+G9*C326</f>
        <v>7.43212303144661E-005</v>
      </c>
      <c r="I326" s="8" t="n">
        <f aca="false">D326-H326</f>
        <v>0.000225678769685543</v>
      </c>
      <c r="J326" s="8" t="n">
        <f aca="false">C326+D326/(G12*G6)</f>
        <v>0.0631778424503036</v>
      </c>
      <c r="K326" s="4" t="n">
        <f aca="false">(A326-$A$2)/365</f>
        <v>1.33424657534247</v>
      </c>
      <c r="L326" s="8" t="n">
        <f aca="false">IFERROR(AVERAGE(J267:J326),"")</f>
        <v>0.0542227745441515</v>
      </c>
    </row>
    <row r="327" customFormat="false" ht="15" hidden="false" customHeight="false" outlineLevel="0" collapsed="false">
      <c r="A327" s="3" t="n">
        <v>46041</v>
      </c>
      <c r="B327" s="4" t="n">
        <f aca="false">0.0549</f>
        <v>0.0549</v>
      </c>
      <c r="C327" s="4" t="n">
        <f aca="false">B326</f>
        <v>0.0546</v>
      </c>
      <c r="D327" s="4" t="n">
        <f aca="false">B327-C327</f>
        <v>0.000300000000000002</v>
      </c>
      <c r="H327" s="8" t="n">
        <f aca="false">G10+G9*C327</f>
        <v>6.41836320743748E-005</v>
      </c>
      <c r="I327" s="8" t="n">
        <f aca="false">D327-H327</f>
        <v>0.000235816367925627</v>
      </c>
      <c r="J327" s="8" t="n">
        <f aca="false">C327+D327/(G12*G6)</f>
        <v>0.0634778424503034</v>
      </c>
      <c r="K327" s="4" t="n">
        <f aca="false">(A327-$A$2)/365</f>
        <v>1.34246575342466</v>
      </c>
      <c r="L327" s="8" t="n">
        <f aca="false">IFERROR(AVERAGE(J268:J327),"")</f>
        <v>0.0539118464624747</v>
      </c>
    </row>
    <row r="328" customFormat="false" ht="15" hidden="false" customHeight="false" outlineLevel="0" collapsed="false">
      <c r="A328" s="3" t="n">
        <v>46042</v>
      </c>
      <c r="B328" s="4" t="n">
        <f aca="false">0.0548</f>
        <v>0.0548</v>
      </c>
      <c r="C328" s="4" t="n">
        <f aca="false">B327</f>
        <v>0.0549</v>
      </c>
      <c r="D328" s="4" t="n">
        <f aca="false">B328-C328</f>
        <v>-0.000100000000000003</v>
      </c>
      <c r="H328" s="8" t="n">
        <f aca="false">G10+G9*C328</f>
        <v>5.4046033834284E-005</v>
      </c>
      <c r="I328" s="8" t="n">
        <f aca="false">D328-H328</f>
        <v>-0.000154046033834287</v>
      </c>
      <c r="J328" s="8" t="n">
        <f aca="false">C328+D328/(G12*G6)</f>
        <v>0.0519407191832321</v>
      </c>
      <c r="K328" s="4" t="n">
        <f aca="false">(A328-$A$2)/365</f>
        <v>1.34520547945205</v>
      </c>
      <c r="L328" s="8" t="n">
        <f aca="false">IFERROR(AVERAGE(J269:J328),"")</f>
        <v>0.0545773453197205</v>
      </c>
    </row>
    <row r="329" customFormat="false" ht="15" hidden="false" customHeight="false" outlineLevel="0" collapsed="false">
      <c r="A329" s="3" t="n">
        <v>46043</v>
      </c>
      <c r="B329" s="4" t="n">
        <f aca="false">0.0549</f>
        <v>0.0549</v>
      </c>
      <c r="C329" s="4" t="n">
        <f aca="false">B328</f>
        <v>0.0548</v>
      </c>
      <c r="D329" s="4" t="n">
        <f aca="false">B329-C329</f>
        <v>0.000100000000000003</v>
      </c>
      <c r="H329" s="8" t="n">
        <f aca="false">G10+G9*C329</f>
        <v>5.74252332476476E-005</v>
      </c>
      <c r="I329" s="8" t="n">
        <f aca="false">D329-H329</f>
        <v>4.25747667523553E-005</v>
      </c>
      <c r="J329" s="8" t="n">
        <f aca="false">C329+D329/(G12*G6)</f>
        <v>0.0577592808167679</v>
      </c>
      <c r="K329" s="4" t="n">
        <f aca="false">(A329-$A$2)/365</f>
        <v>1.34794520547945</v>
      </c>
      <c r="L329" s="8" t="n">
        <f aca="false">IFERROR(AVERAGE(J270:J329),"")</f>
        <v>0.0544770359591616</v>
      </c>
    </row>
    <row r="330" customFormat="false" ht="15" hidden="false" customHeight="false" outlineLevel="0" collapsed="false">
      <c r="A330" s="3" t="n">
        <v>46044</v>
      </c>
      <c r="B330" s="4" t="n">
        <f aca="false">0.0558</f>
        <v>0.0558</v>
      </c>
      <c r="C330" s="4" t="n">
        <f aca="false">B329</f>
        <v>0.0549</v>
      </c>
      <c r="D330" s="4" t="n">
        <f aca="false">B330-C330</f>
        <v>0.000899999999999998</v>
      </c>
      <c r="H330" s="8" t="n">
        <f aca="false">G10+G9*C330</f>
        <v>5.4046033834284E-005</v>
      </c>
      <c r="I330" s="8" t="n">
        <f aca="false">D330-H330</f>
        <v>0.000845953966165714</v>
      </c>
      <c r="J330" s="8" t="n">
        <f aca="false">C330+D330/(G12*G6)</f>
        <v>0.0815335273509101</v>
      </c>
      <c r="K330" s="4" t="n">
        <f aca="false">(A330-$A$2)/365</f>
        <v>1.35068493150685</v>
      </c>
      <c r="L330" s="8" t="n">
        <f aca="false">IFERROR(AVERAGE(J271:J330),"")</f>
        <v>0.0542747505713771</v>
      </c>
    </row>
    <row r="331" customFormat="false" ht="15" hidden="false" customHeight="false" outlineLevel="0" collapsed="false">
      <c r="A331" s="3" t="n">
        <v>46045</v>
      </c>
      <c r="B331" s="4" t="n">
        <f aca="false">0.0544</f>
        <v>0.0544</v>
      </c>
      <c r="C331" s="4" t="n">
        <f aca="false">B330</f>
        <v>0.0558</v>
      </c>
      <c r="D331" s="4" t="n">
        <f aca="false">B331-C331</f>
        <v>-0.0014</v>
      </c>
      <c r="H331" s="8" t="n">
        <f aca="false">G10+G9*C331</f>
        <v>2.36332391140113E-005</v>
      </c>
      <c r="I331" s="8" t="n">
        <f aca="false">D331-H331</f>
        <v>-0.00142363323911401</v>
      </c>
      <c r="J331" s="8" t="n">
        <f aca="false">C331+D331/(G12*G6)</f>
        <v>0.014370068565251</v>
      </c>
      <c r="K331" s="4" t="n">
        <f aca="false">(A331-$A$2)/365</f>
        <v>1.35342465753425</v>
      </c>
      <c r="L331" s="8" t="n">
        <f aca="false">IFERROR(AVERAGE(J272:J331),"")</f>
        <v>0.0536219063944107</v>
      </c>
    </row>
    <row r="332" customFormat="false" ht="15" hidden="false" customHeight="false" outlineLevel="0" collapsed="false">
      <c r="A332" s="3" t="n">
        <v>46049</v>
      </c>
      <c r="B332" s="4" t="n">
        <f aca="false">0.0549</f>
        <v>0.0549</v>
      </c>
      <c r="C332" s="4" t="n">
        <f aca="false">B331</f>
        <v>0.0544</v>
      </c>
      <c r="D332" s="4" t="n">
        <f aca="false">B332-C332</f>
        <v>0.0005</v>
      </c>
      <c r="H332" s="8" t="n">
        <f aca="false">G10+G9*C332</f>
        <v>7.0942030901102E-005</v>
      </c>
      <c r="I332" s="8" t="n">
        <f aca="false">D332-H332</f>
        <v>0.000429057969098898</v>
      </c>
      <c r="J332" s="8" t="n">
        <f aca="false">C332+D332/(G12*G6)</f>
        <v>0.069196404083839</v>
      </c>
      <c r="K332" s="4" t="n">
        <f aca="false">(A332-$A$2)/365</f>
        <v>1.36438356164384</v>
      </c>
      <c r="L332" s="8" t="n">
        <f aca="false">IFERROR(AVERAGE(J273:J332),"")</f>
        <v>0.0538351797958081</v>
      </c>
    </row>
    <row r="333" customFormat="false" ht="15" hidden="false" customHeight="false" outlineLevel="0" collapsed="false">
      <c r="A333" s="3" t="n">
        <v>46050</v>
      </c>
      <c r="B333" s="4" t="n">
        <f aca="false">0.053</f>
        <v>0.053</v>
      </c>
      <c r="C333" s="4" t="n">
        <f aca="false">B332</f>
        <v>0.0549</v>
      </c>
      <c r="D333" s="4" t="n">
        <f aca="false">B333-C333</f>
        <v>-0.00190000000000001</v>
      </c>
      <c r="H333" s="8" t="n">
        <f aca="false">G10+G9*C333</f>
        <v>5.4046033834284E-005</v>
      </c>
      <c r="I333" s="8" t="n">
        <f aca="false">D333-H333</f>
        <v>-0.00195404603383429</v>
      </c>
      <c r="J333" s="8" t="n">
        <f aca="false">C333+D333/(G12*G6)</f>
        <v>-0.00132633551858822</v>
      </c>
      <c r="K333" s="4" t="n">
        <f aca="false">(A333-$A$2)/365</f>
        <v>1.36712328767123</v>
      </c>
      <c r="L333" s="8" t="n">
        <f aca="false">IFERROR(AVERAGE(J274:J333),"")</f>
        <v>0.0528730742038316</v>
      </c>
    </row>
    <row r="334" customFormat="false" ht="15" hidden="false" customHeight="false" outlineLevel="0" collapsed="false">
      <c r="A334" s="3" t="n">
        <v>46051</v>
      </c>
      <c r="B334" s="4" t="n">
        <f aca="false">0.0535</f>
        <v>0.0535</v>
      </c>
      <c r="C334" s="4" t="n">
        <f aca="false">B333</f>
        <v>0.053</v>
      </c>
      <c r="D334" s="4" t="n">
        <f aca="false">B334-C334</f>
        <v>0.0005</v>
      </c>
      <c r="H334" s="8" t="n">
        <f aca="false">G10+G9*C334</f>
        <v>0.000118250822688193</v>
      </c>
      <c r="I334" s="8" t="n">
        <f aca="false">D334-H334</f>
        <v>0.000381749177311807</v>
      </c>
      <c r="J334" s="8" t="n">
        <f aca="false">C334+D334/(G12*G6)</f>
        <v>0.067796404083839</v>
      </c>
      <c r="K334" s="4" t="n">
        <f aca="false">(A334-$A$2)/365</f>
        <v>1.36986301369863</v>
      </c>
      <c r="L334" s="8" t="n">
        <f aca="false">IFERROR(AVERAGE(J275:J334),"")</f>
        <v>0.0528164075371649</v>
      </c>
    </row>
    <row r="335" customFormat="false" ht="15" hidden="false" customHeight="false" outlineLevel="0" collapsed="false">
      <c r="A335" s="3" t="n">
        <v>46052</v>
      </c>
      <c r="B335" s="4" t="n">
        <f aca="false">0.0553</f>
        <v>0.0553</v>
      </c>
      <c r="C335" s="4" t="n">
        <f aca="false">B334</f>
        <v>0.0535</v>
      </c>
      <c r="D335" s="4" t="n">
        <f aca="false">B335-C335</f>
        <v>0.0018</v>
      </c>
      <c r="H335" s="8" t="n">
        <f aca="false">G10+G9*C335</f>
        <v>0.000101354825621375</v>
      </c>
      <c r="I335" s="8" t="n">
        <f aca="false">D335-H335</f>
        <v>0.00169864517437863</v>
      </c>
      <c r="J335" s="8" t="n">
        <f aca="false">C335+D335/(G12*G6)</f>
        <v>0.10676705470182</v>
      </c>
      <c r="K335" s="4" t="n">
        <f aca="false">(A335-$A$2)/365</f>
        <v>1.37260273972603</v>
      </c>
      <c r="L335" s="8" t="n">
        <f aca="false">IFERROR(AVERAGE(J276:J335),"")</f>
        <v>0.0546339520544512</v>
      </c>
    </row>
    <row r="336" customFormat="false" ht="15" hidden="false" customHeight="false" outlineLevel="0" collapsed="false">
      <c r="A336" s="3" t="n">
        <v>46055</v>
      </c>
      <c r="B336" s="4" t="n">
        <f aca="false">0.0528</f>
        <v>0.0528</v>
      </c>
      <c r="C336" s="4" t="n">
        <f aca="false">B335</f>
        <v>0.0553</v>
      </c>
      <c r="D336" s="4" t="n">
        <f aca="false">B336-C336</f>
        <v>-0.0025</v>
      </c>
      <c r="H336" s="8" t="n">
        <f aca="false">G10+G9*C336</f>
        <v>4.05292361808293E-005</v>
      </c>
      <c r="I336" s="8" t="n">
        <f aca="false">D336-H336</f>
        <v>-0.00254052923618083</v>
      </c>
      <c r="J336" s="8" t="n">
        <f aca="false">C336+D336/(G12*G6)</f>
        <v>-0.0186820204191949</v>
      </c>
      <c r="K336" s="4" t="n">
        <f aca="false">(A336-$A$2)/365</f>
        <v>1.38082191780822</v>
      </c>
      <c r="L336" s="8" t="n">
        <f aca="false">IFERROR(AVERAGE(J277:J336),"")</f>
        <v>0.0534075850474646</v>
      </c>
    </row>
    <row r="337" customFormat="false" ht="15" hidden="false" customHeight="false" outlineLevel="0" collapsed="false">
      <c r="A337" s="3" t="n">
        <v>46056</v>
      </c>
      <c r="B337" s="4" t="n">
        <f aca="false">0.0513</f>
        <v>0.0513</v>
      </c>
      <c r="C337" s="4" t="n">
        <f aca="false">B336</f>
        <v>0.0528</v>
      </c>
      <c r="D337" s="4" t="n">
        <f aca="false">B337-C337</f>
        <v>-0.0015</v>
      </c>
      <c r="H337" s="8" t="n">
        <f aca="false">G10+G9*C337</f>
        <v>0.00012500922151492</v>
      </c>
      <c r="I337" s="8" t="n">
        <f aca="false">D337-H337</f>
        <v>-0.00162500922151492</v>
      </c>
      <c r="J337" s="8" t="n">
        <f aca="false">C337+D337/(G12*G6)</f>
        <v>0.00841078774848308</v>
      </c>
      <c r="K337" s="4" t="n">
        <f aca="false">(A337-$A$2)/365</f>
        <v>1.38356164383562</v>
      </c>
      <c r="L337" s="8" t="n">
        <f aca="false">IFERROR(AVERAGE(J278:J337),"")</f>
        <v>0.0527807288841111</v>
      </c>
    </row>
    <row r="338" customFormat="false" ht="15" hidden="false" customHeight="false" outlineLevel="0" collapsed="false">
      <c r="A338" s="3" t="n">
        <v>46057</v>
      </c>
      <c r="B338" s="4" t="n">
        <f aca="false">0.0504</f>
        <v>0.0504</v>
      </c>
      <c r="C338" s="4" t="n">
        <f aca="false">B337</f>
        <v>0.0513</v>
      </c>
      <c r="D338" s="4" t="n">
        <f aca="false">B338-C338</f>
        <v>-0.000899999999999998</v>
      </c>
      <c r="H338" s="8" t="n">
        <f aca="false">G10+G9*C338</f>
        <v>0.000175697212715375</v>
      </c>
      <c r="I338" s="8" t="n">
        <f aca="false">D338-H338</f>
        <v>-0.00107569721271537</v>
      </c>
      <c r="J338" s="8" t="n">
        <f aca="false">C338+D338/(G12*G6)</f>
        <v>0.0246664726490899</v>
      </c>
      <c r="K338" s="4" t="n">
        <f aca="false">(A338-$A$2)/365</f>
        <v>1.38630136986301</v>
      </c>
      <c r="L338" s="8" t="n">
        <f aca="false">IFERROR(AVERAGE(J279:J338),"")</f>
        <v>0.0523804794554881</v>
      </c>
    </row>
    <row r="339" customFormat="false" ht="15" hidden="false" customHeight="false" outlineLevel="0" collapsed="false">
      <c r="A339" s="3" t="n">
        <v>46058</v>
      </c>
      <c r="B339" s="4" t="n">
        <f aca="false">0.0509</f>
        <v>0.0509</v>
      </c>
      <c r="C339" s="4" t="n">
        <f aca="false">B338</f>
        <v>0.0504</v>
      </c>
      <c r="D339" s="4" t="n">
        <f aca="false">B339-C339</f>
        <v>0.0005</v>
      </c>
      <c r="H339" s="8" t="n">
        <f aca="false">G10+G9*C339</f>
        <v>0.000206110007435648</v>
      </c>
      <c r="I339" s="8" t="n">
        <f aca="false">D339-H339</f>
        <v>0.000293889992564353</v>
      </c>
      <c r="J339" s="8" t="n">
        <f aca="false">C339+D339/(G12*G6)</f>
        <v>0.065196404083839</v>
      </c>
      <c r="K339" s="4" t="n">
        <f aca="false">(A339-$A$2)/365</f>
        <v>1.38904109589041</v>
      </c>
      <c r="L339" s="8" t="n">
        <f aca="false">IFERROR(AVERAGE(J280:J339),"")</f>
        <v>0.0528070262582828</v>
      </c>
    </row>
    <row r="340" customFormat="false" ht="15" hidden="false" customHeight="false" outlineLevel="0" collapsed="false">
      <c r="A340" s="3" t="n">
        <v>46059</v>
      </c>
      <c r="B340" s="4" t="n">
        <f aca="false">0.0509</f>
        <v>0.0509</v>
      </c>
      <c r="C340" s="4" t="n">
        <f aca="false">B339</f>
        <v>0.0509</v>
      </c>
      <c r="D340" s="4" t="n">
        <f aca="false">B340-C340</f>
        <v>0</v>
      </c>
      <c r="H340" s="8" t="n">
        <f aca="false">G10+G9*C340</f>
        <v>0.00018921401036883</v>
      </c>
      <c r="I340" s="8" t="n">
        <f aca="false">D340-H340</f>
        <v>-0.00018921401036883</v>
      </c>
      <c r="J340" s="8" t="n">
        <f aca="false">C340+D340/(G12*G6)</f>
        <v>0.0509</v>
      </c>
      <c r="K340" s="4" t="n">
        <f aca="false">(A340-$A$2)/365</f>
        <v>1.39178082191781</v>
      </c>
      <c r="L340" s="8" t="n">
        <f aca="false">IFERROR(AVERAGE(J281:J340),"")</f>
        <v>0.0527570262582828</v>
      </c>
    </row>
    <row r="341" customFormat="false" ht="15" hidden="false" customHeight="false" outlineLevel="0" collapsed="false">
      <c r="A341" s="3" t="n">
        <v>46062</v>
      </c>
      <c r="B341" s="4" t="n">
        <f aca="false">0.0509</f>
        <v>0.0509</v>
      </c>
      <c r="C341" s="4" t="n">
        <f aca="false">B340</f>
        <v>0.0509</v>
      </c>
      <c r="D341" s="4" t="n">
        <f aca="false">B341-C341</f>
        <v>0</v>
      </c>
      <c r="H341" s="8" t="n">
        <f aca="false">G10+G9*C341</f>
        <v>0.00018921401036883</v>
      </c>
      <c r="I341" s="8" t="n">
        <f aca="false">D341-H341</f>
        <v>-0.00018921401036883</v>
      </c>
      <c r="J341" s="8" t="n">
        <f aca="false">C341+D341/(G12*G6)</f>
        <v>0.0509</v>
      </c>
      <c r="K341" s="4" t="n">
        <f aca="false">(A341-$A$2)/365</f>
        <v>1.4</v>
      </c>
      <c r="L341" s="8" t="n">
        <f aca="false">IFERROR(AVERAGE(J282:J341),"")</f>
        <v>0.0527070262582828</v>
      </c>
    </row>
    <row r="342" customFormat="false" ht="15" hidden="false" customHeight="false" outlineLevel="0" collapsed="false">
      <c r="A342" s="3" t="n">
        <v>46063</v>
      </c>
      <c r="B342" s="4" t="n">
        <f aca="false">0.0509</f>
        <v>0.0509</v>
      </c>
      <c r="C342" s="4" t="n">
        <f aca="false">B341</f>
        <v>0.0509</v>
      </c>
      <c r="D342" s="4" t="n">
        <f aca="false">B342-C342</f>
        <v>0</v>
      </c>
      <c r="H342" s="8" t="n">
        <f aca="false">G10+G9*C342</f>
        <v>0.00018921401036883</v>
      </c>
      <c r="I342" s="8" t="n">
        <f aca="false">D342-H342</f>
        <v>-0.00018921401036883</v>
      </c>
      <c r="J342" s="8" t="n">
        <f aca="false">C342+D342/(G12*G6)</f>
        <v>0.0509</v>
      </c>
      <c r="K342" s="4" t="n">
        <f aca="false">(A342-$A$2)/365</f>
        <v>1.4027397260274</v>
      </c>
      <c r="L342" s="8" t="n">
        <f aca="false">IFERROR(AVERAGE(J283:J342),"")</f>
        <v>0.0526570262582828</v>
      </c>
    </row>
    <row r="343" customFormat="false" ht="15" hidden="false" customHeight="false" outlineLevel="0" collapsed="false">
      <c r="A343" s="3" t="n">
        <v>46064</v>
      </c>
      <c r="B343" s="4" t="n">
        <f aca="false">0.0508</f>
        <v>0.0508</v>
      </c>
      <c r="C343" s="4" t="n">
        <f aca="false">B342</f>
        <v>0.0509</v>
      </c>
      <c r="D343" s="4" t="n">
        <f aca="false">B343-C343</f>
        <v>-0.000100000000000003</v>
      </c>
      <c r="H343" s="8" t="n">
        <f aca="false">G10+G9*C343</f>
        <v>0.00018921401036883</v>
      </c>
      <c r="I343" s="8" t="n">
        <f aca="false">D343-H343</f>
        <v>-0.000289214010368833</v>
      </c>
      <c r="J343" s="8" t="n">
        <f aca="false">C343+D343/(G12*G6)</f>
        <v>0.0479407191832321</v>
      </c>
      <c r="K343" s="4" t="n">
        <f aca="false">(A343-$A$2)/365</f>
        <v>1.40547945205479</v>
      </c>
      <c r="L343" s="8" t="n">
        <f aca="false">IFERROR(AVERAGE(J284:J343),"")</f>
        <v>0.0516205993193602</v>
      </c>
    </row>
    <row r="344" customFormat="false" ht="15" hidden="false" customHeight="false" outlineLevel="0" collapsed="false">
      <c r="A344" s="3" t="n">
        <v>46065</v>
      </c>
      <c r="B344" s="4" t="n">
        <f aca="false">0.0509</f>
        <v>0.0509</v>
      </c>
      <c r="C344" s="4" t="n">
        <f aca="false">B343</f>
        <v>0.0508</v>
      </c>
      <c r="D344" s="4" t="n">
        <f aca="false">B344-C344</f>
        <v>0.000100000000000003</v>
      </c>
      <c r="H344" s="8" t="n">
        <f aca="false">G10+G9*C344</f>
        <v>0.000192593209782193</v>
      </c>
      <c r="I344" s="8" t="n">
        <f aca="false">D344-H344</f>
        <v>-9.25932097821905E-005</v>
      </c>
      <c r="J344" s="8" t="n">
        <f aca="false">C344+D344/(G12*G6)</f>
        <v>0.0537592808167679</v>
      </c>
      <c r="K344" s="4" t="n">
        <f aca="false">(A344-$A$2)/365</f>
        <v>1.40821917808219</v>
      </c>
      <c r="L344" s="8" t="n">
        <f aca="false">IFERROR(AVERAGE(J285:J344),"")</f>
        <v>0.0523264075371649</v>
      </c>
    </row>
    <row r="345" customFormat="false" ht="15" hidden="false" customHeight="false" outlineLevel="0" collapsed="false">
      <c r="A345" s="3" t="n">
        <v>46066</v>
      </c>
      <c r="B345" s="4" t="n">
        <f aca="false">0.0508</f>
        <v>0.0508</v>
      </c>
      <c r="C345" s="4" t="n">
        <f aca="false">B344</f>
        <v>0.0509</v>
      </c>
      <c r="D345" s="4" t="n">
        <f aca="false">B345-C345</f>
        <v>-0.000100000000000003</v>
      </c>
      <c r="H345" s="8" t="n">
        <f aca="false">G10+G9*C345</f>
        <v>0.00018921401036883</v>
      </c>
      <c r="I345" s="8" t="n">
        <f aca="false">D345-H345</f>
        <v>-0.000289214010368833</v>
      </c>
      <c r="J345" s="8" t="n">
        <f aca="false">C345+D345/(G12*G6)</f>
        <v>0.0479407191832321</v>
      </c>
      <c r="K345" s="4" t="n">
        <f aca="false">(A345-$A$2)/365</f>
        <v>1.41095890410959</v>
      </c>
      <c r="L345" s="8" t="n">
        <f aca="false">IFERROR(AVERAGE(J286:J345),"")</f>
        <v>0.052171098176606</v>
      </c>
    </row>
    <row r="346" customFormat="false" ht="15" hidden="false" customHeight="false" outlineLevel="0" collapsed="false">
      <c r="A346" s="3" t="n">
        <v>46069</v>
      </c>
      <c r="B346" s="4" t="n">
        <f aca="false">0.0514</f>
        <v>0.0514</v>
      </c>
      <c r="C346" s="4" t="n">
        <f aca="false">B345</f>
        <v>0.0508</v>
      </c>
      <c r="D346" s="4" t="n">
        <f aca="false">B346-C346</f>
        <v>0.000599999999999996</v>
      </c>
      <c r="H346" s="8" t="n">
        <f aca="false">G10+G9*C346</f>
        <v>0.000192593209782193</v>
      </c>
      <c r="I346" s="8" t="n">
        <f aca="false">D346-H346</f>
        <v>0.000407406790217803</v>
      </c>
      <c r="J346" s="8" t="n">
        <f aca="false">C346+D346/(G12*G6)</f>
        <v>0.0685556849006067</v>
      </c>
      <c r="K346" s="4" t="n">
        <f aca="false">(A346-$A$2)/365</f>
        <v>1.41917808219178</v>
      </c>
      <c r="L346" s="8" t="n">
        <f aca="false">IFERROR(AVERAGE(J287:J346),"")</f>
        <v>0.0524070262582828</v>
      </c>
    </row>
    <row r="347" customFormat="false" ht="15" hidden="false" customHeight="false" outlineLevel="0" collapsed="false">
      <c r="A347" s="3" t="n">
        <v>46070</v>
      </c>
      <c r="B347" s="4" t="n">
        <f aca="false">0.0514</f>
        <v>0.0514</v>
      </c>
      <c r="C347" s="4" t="n">
        <f aca="false">B346</f>
        <v>0.0514</v>
      </c>
      <c r="D347" s="4" t="n">
        <f aca="false">B347-C347</f>
        <v>0</v>
      </c>
      <c r="H347" s="8" t="n">
        <f aca="false">G10+G9*C347</f>
        <v>0.000172318013302012</v>
      </c>
      <c r="I347" s="8" t="n">
        <f aca="false">D347-H347</f>
        <v>-0.000172318013302012</v>
      </c>
      <c r="J347" s="8" t="n">
        <f aca="false">C347+D347/(G12*G6)</f>
        <v>0.0514</v>
      </c>
      <c r="K347" s="4" t="n">
        <f aca="false">(A347-$A$2)/365</f>
        <v>1.42191780821918</v>
      </c>
      <c r="L347" s="8" t="n">
        <f aca="false">IFERROR(AVERAGE(J288:J347),"")</f>
        <v>0.0521597408704982</v>
      </c>
    </row>
    <row r="348" customFormat="false" ht="15" hidden="false" customHeight="false" outlineLevel="0" collapsed="false">
      <c r="A348" s="3" t="n">
        <v>46071</v>
      </c>
      <c r="B348" s="4" t="n">
        <f aca="false">0.0513</f>
        <v>0.0513</v>
      </c>
      <c r="C348" s="4" t="n">
        <f aca="false">B347</f>
        <v>0.0514</v>
      </c>
      <c r="D348" s="4" t="n">
        <f aca="false">B348-C348</f>
        <v>-9.99999999999959E-005</v>
      </c>
      <c r="H348" s="8" t="n">
        <f aca="false">G10+G9*C348</f>
        <v>0.000172318013302012</v>
      </c>
      <c r="I348" s="8" t="n">
        <f aca="false">D348-H348</f>
        <v>-0.000272318013302008</v>
      </c>
      <c r="J348" s="8" t="n">
        <f aca="false">C348+D348/(G12*G6)</f>
        <v>0.0484407191832323</v>
      </c>
      <c r="K348" s="4" t="n">
        <f aca="false">(A348-$A$2)/365</f>
        <v>1.42465753424658</v>
      </c>
      <c r="L348" s="8" t="n">
        <f aca="false">IFERROR(AVERAGE(J289:J348),"")</f>
        <v>0.051511218040478</v>
      </c>
    </row>
    <row r="349" customFormat="false" ht="15" hidden="false" customHeight="false" outlineLevel="0" collapsed="false">
      <c r="A349" s="3" t="n">
        <v>46073</v>
      </c>
      <c r="B349" s="4" t="n">
        <f aca="false">0.0514</f>
        <v>0.0514</v>
      </c>
      <c r="C349" s="4" t="n">
        <f aca="false">B348</f>
        <v>0.0513</v>
      </c>
      <c r="D349" s="4" t="n">
        <f aca="false">B349-C349</f>
        <v>9.99999999999959E-005</v>
      </c>
      <c r="H349" s="8" t="n">
        <f aca="false">G10+G9*C349</f>
        <v>0.000175697212715375</v>
      </c>
      <c r="I349" s="8" t="n">
        <f aca="false">D349-H349</f>
        <v>-7.56972127153792E-005</v>
      </c>
      <c r="J349" s="8" t="n">
        <f aca="false">C349+D349/(G12*G6)</f>
        <v>0.0542592808167677</v>
      </c>
      <c r="K349" s="4" t="n">
        <f aca="false">(A349-$A$2)/365</f>
        <v>1.43013698630137</v>
      </c>
      <c r="L349" s="8" t="n">
        <f aca="false">IFERROR(AVERAGE(J290:J349),"")</f>
        <v>0.0514838727207575</v>
      </c>
    </row>
    <row r="350" customFormat="false" ht="15" hidden="false" customHeight="false" outlineLevel="0" collapsed="false">
      <c r="A350" s="3" t="n">
        <v>46076</v>
      </c>
      <c r="B350" s="4" t="n">
        <f aca="false">0.0517</f>
        <v>0.0517</v>
      </c>
      <c r="C350" s="4" t="n">
        <f aca="false">B349</f>
        <v>0.0514</v>
      </c>
      <c r="D350" s="4" t="n">
        <f aca="false">B350-C350</f>
        <v>0.000300000000000002</v>
      </c>
      <c r="H350" s="8" t="n">
        <f aca="false">G10+G9*C350</f>
        <v>0.000172318013302012</v>
      </c>
      <c r="I350" s="8" t="n">
        <f aca="false">D350-H350</f>
        <v>0.00012768198669799</v>
      </c>
      <c r="J350" s="8" t="n">
        <f aca="false">C350+D350/(G12*G6)</f>
        <v>0.0602778424503034</v>
      </c>
      <c r="K350" s="4" t="n">
        <f aca="false">(A350-$A$2)/365</f>
        <v>1.43835616438356</v>
      </c>
      <c r="L350" s="8" t="n">
        <f aca="false">IFERROR(AVERAGE(J291:J350),"")</f>
        <v>0.0520500502310572</v>
      </c>
    </row>
    <row r="351" customFormat="false" ht="15" hidden="false" customHeight="false" outlineLevel="0" collapsed="false">
      <c r="A351" s="3" t="n">
        <v>46077</v>
      </c>
      <c r="B351" s="4" t="n">
        <f aca="false">0.0517</f>
        <v>0.0517</v>
      </c>
      <c r="C351" s="4" t="n">
        <f aca="false">B350</f>
        <v>0.0517</v>
      </c>
      <c r="D351" s="4" t="n">
        <f aca="false">B351-C351</f>
        <v>0</v>
      </c>
      <c r="H351" s="8" t="n">
        <f aca="false">G10+G9*C351</f>
        <v>0.000162180415061921</v>
      </c>
      <c r="I351" s="8" t="n">
        <f aca="false">D351-H351</f>
        <v>-0.000162180415061921</v>
      </c>
      <c r="J351" s="8" t="n">
        <f aca="false">C351+D351/(G12*G6)</f>
        <v>0.0517</v>
      </c>
      <c r="K351" s="4" t="n">
        <f aca="false">(A351-$A$2)/365</f>
        <v>1.44109589041096</v>
      </c>
      <c r="L351" s="8" t="n">
        <f aca="false">IFERROR(AVERAGE(J292:J351),"")</f>
        <v>0.0522433236324545</v>
      </c>
    </row>
    <row r="352" customFormat="false" ht="15" hidden="false" customHeight="false" outlineLevel="0" collapsed="false">
      <c r="A352" s="3" t="n">
        <v>46078</v>
      </c>
      <c r="B352" s="4" t="n">
        <f aca="false">0.0514</f>
        <v>0.0514</v>
      </c>
      <c r="C352" s="4" t="n">
        <f aca="false">B351</f>
        <v>0.0517</v>
      </c>
      <c r="D352" s="4" t="n">
        <f aca="false">B352-C352</f>
        <v>-0.000300000000000002</v>
      </c>
      <c r="H352" s="8" t="n">
        <f aca="false">G10+G9*C352</f>
        <v>0.000162180415061921</v>
      </c>
      <c r="I352" s="8" t="n">
        <f aca="false">D352-H352</f>
        <v>-0.000462180415061922</v>
      </c>
      <c r="J352" s="8" t="n">
        <f aca="false">C352+D352/(G12*G6)</f>
        <v>0.0428221575496966</v>
      </c>
      <c r="K352" s="4" t="n">
        <f aca="false">(A352-$A$2)/365</f>
        <v>1.44383561643836</v>
      </c>
      <c r="L352" s="8" t="n">
        <f aca="false">IFERROR(AVERAGE(J293:J352),"")</f>
        <v>0.0520503595916161</v>
      </c>
    </row>
    <row r="353" customFormat="false" ht="15" hidden="false" customHeight="false" outlineLevel="0" collapsed="false">
      <c r="A353" s="3" t="n">
        <v>46079</v>
      </c>
      <c r="B353" s="4" t="n">
        <f aca="false">0.0513</f>
        <v>0.0513</v>
      </c>
      <c r="C353" s="4" t="n">
        <f aca="false">B352</f>
        <v>0.0514</v>
      </c>
      <c r="D353" s="4" t="n">
        <f aca="false">B353-C353</f>
        <v>-9.99999999999959E-005</v>
      </c>
      <c r="H353" s="8" t="n">
        <f aca="false">G10+G9*C353</f>
        <v>0.000172318013302012</v>
      </c>
      <c r="I353" s="8" t="n">
        <f aca="false">D353-H353</f>
        <v>-0.000272318013302008</v>
      </c>
      <c r="J353" s="8" t="n">
        <f aca="false">C353+D353/(G12*G6)</f>
        <v>0.0484407191832323</v>
      </c>
      <c r="K353" s="4" t="n">
        <f aca="false">(A353-$A$2)/365</f>
        <v>1.44657534246575</v>
      </c>
      <c r="L353" s="8" t="n">
        <f aca="false">IFERROR(AVERAGE(J294:J353),"")</f>
        <v>0.051211218040478</v>
      </c>
    </row>
    <row r="354" customFormat="false" ht="15" hidden="false" customHeight="false" outlineLevel="0" collapsed="false">
      <c r="A354" s="3" t="n">
        <v>46080</v>
      </c>
      <c r="B354" s="4" t="n">
        <f aca="false">0.0517</f>
        <v>0.0517</v>
      </c>
      <c r="C354" s="4" t="n">
        <f aca="false">B353</f>
        <v>0.0513</v>
      </c>
      <c r="D354" s="4" t="n">
        <f aca="false">B354-C354</f>
        <v>0.000399999999999998</v>
      </c>
      <c r="H354" s="8" t="n">
        <f aca="false">G10+G9*C354</f>
        <v>0.000175697212715375</v>
      </c>
      <c r="I354" s="8" t="n">
        <f aca="false">D354-H354</f>
        <v>0.000224302787284622</v>
      </c>
      <c r="J354" s="8" t="n">
        <f aca="false">C354+D354/(G12*G6)</f>
        <v>0.0631371232670711</v>
      </c>
      <c r="K354" s="4" t="n">
        <f aca="false">(A354-$A$2)/365</f>
        <v>1.44931506849315</v>
      </c>
      <c r="L354" s="8" t="n">
        <f aca="false">IFERROR(AVERAGE(J295:J354),"")</f>
        <v>0.0518250502310572</v>
      </c>
    </row>
    <row r="355" customFormat="false" ht="15" hidden="false" customHeight="false" outlineLevel="0" collapsed="false">
      <c r="A355" s="3" t="n">
        <v>46083</v>
      </c>
      <c r="B355" s="4" t="n">
        <f aca="false">0.0514</f>
        <v>0.0514</v>
      </c>
      <c r="C355" s="4" t="n">
        <f aca="false">B354</f>
        <v>0.0517</v>
      </c>
      <c r="D355" s="4" t="n">
        <f aca="false">B355-C355</f>
        <v>-0.000300000000000002</v>
      </c>
      <c r="H355" s="8" t="n">
        <f aca="false">G10+G9*C355</f>
        <v>0.000162180415061921</v>
      </c>
      <c r="I355" s="8" t="n">
        <f aca="false">D355-H355</f>
        <v>-0.000462180415061922</v>
      </c>
      <c r="J355" s="8" t="n">
        <f aca="false">C355+D355/(G12*G6)</f>
        <v>0.0428221575496966</v>
      </c>
      <c r="K355" s="4" t="n">
        <f aca="false">(A355-$A$2)/365</f>
        <v>1.45753424657534</v>
      </c>
      <c r="L355" s="8" t="n">
        <f aca="false">IFERROR(AVERAGE(J296:J355),"")</f>
        <v>0.0521169663263468</v>
      </c>
    </row>
    <row r="356" customFormat="false" ht="15" hidden="false" customHeight="false" outlineLevel="0" collapsed="false">
      <c r="A356" s="3" t="n">
        <v>46085</v>
      </c>
      <c r="B356" s="4" t="n">
        <f aca="false">0.0516</f>
        <v>0.0516</v>
      </c>
      <c r="C356" s="4" t="n">
        <f aca="false">B355</f>
        <v>0.0514</v>
      </c>
      <c r="D356" s="4" t="n">
        <f aca="false">B356-C356</f>
        <v>0.000200000000000006</v>
      </c>
      <c r="H356" s="8" t="n">
        <f aca="false">G10+G9*C356</f>
        <v>0.000172318013302012</v>
      </c>
      <c r="I356" s="8" t="n">
        <f aca="false">D356-H356</f>
        <v>2.7681986697994E-005</v>
      </c>
      <c r="J356" s="8" t="n">
        <f aca="false">C356+D356/(G12*G6)</f>
        <v>0.0573185616335358</v>
      </c>
      <c r="K356" s="4" t="n">
        <f aca="false">(A356-$A$2)/365</f>
        <v>1.46301369863014</v>
      </c>
      <c r="L356" s="8" t="n">
        <f aca="false">IFERROR(AVERAGE(J297:J356),"")</f>
        <v>0.0521739423535723</v>
      </c>
    </row>
    <row r="357" customFormat="false" ht="15" hidden="false" customHeight="false" outlineLevel="0" collapsed="false">
      <c r="A357" s="3" t="n">
        <v>46086</v>
      </c>
      <c r="B357" s="4" t="n">
        <f aca="false">0.0513</f>
        <v>0.0513</v>
      </c>
      <c r="C357" s="4" t="n">
        <f aca="false">B356</f>
        <v>0.0516</v>
      </c>
      <c r="D357" s="4" t="n">
        <f aca="false">B357-C357</f>
        <v>-0.000300000000000002</v>
      </c>
      <c r="H357" s="8" t="n">
        <f aca="false">G10+G9*C357</f>
        <v>0.000165559614475284</v>
      </c>
      <c r="I357" s="8" t="n">
        <f aca="false">D357-H357</f>
        <v>-0.000465559614475286</v>
      </c>
      <c r="J357" s="8" t="n">
        <f aca="false">C357+D357/(G12*G6)</f>
        <v>0.0427221575496966</v>
      </c>
      <c r="K357" s="4" t="n">
        <f aca="false">(A357-$A$2)/365</f>
        <v>1.46575342465753</v>
      </c>
      <c r="L357" s="8" t="n">
        <f aca="false">IFERROR(AVERAGE(J298:J357),"")</f>
        <v>0.0515930742038316</v>
      </c>
    </row>
    <row r="358" customFormat="false" ht="15" hidden="false" customHeight="false" outlineLevel="0" collapsed="false">
      <c r="A358" s="3" t="n">
        <v>46087</v>
      </c>
      <c r="B358" s="4" t="n">
        <f aca="false">0.0513</f>
        <v>0.0513</v>
      </c>
      <c r="C358" s="4" t="n">
        <f aca="false">B357</f>
        <v>0.0513</v>
      </c>
      <c r="D358" s="4" t="n">
        <f aca="false">B358-C358</f>
        <v>0</v>
      </c>
      <c r="H358" s="8" t="n">
        <f aca="false">G10+G9*C358</f>
        <v>0.000175697212715375</v>
      </c>
      <c r="I358" s="8" t="n">
        <f aca="false">D358-H358</f>
        <v>-0.000175697212715375</v>
      </c>
      <c r="J358" s="8" t="n">
        <f aca="false">C358+D358/(G12*G6)</f>
        <v>0.0513</v>
      </c>
      <c r="K358" s="4" t="n">
        <f aca="false">(A358-$A$2)/365</f>
        <v>1.46849315068493</v>
      </c>
      <c r="L358" s="8" t="n">
        <f aca="false">IFERROR(AVERAGE(J299:J358),"")</f>
        <v>0.0520789423535724</v>
      </c>
    </row>
    <row r="359" customFormat="false" ht="15" hidden="false" customHeight="false" outlineLevel="0" collapsed="false">
      <c r="A359" s="3" t="n">
        <v>46090</v>
      </c>
      <c r="B359" s="4" t="n">
        <f aca="false">0.0513</f>
        <v>0.0513</v>
      </c>
      <c r="C359" s="4" t="n">
        <f aca="false">B358</f>
        <v>0.0513</v>
      </c>
      <c r="D359" s="4" t="n">
        <f aca="false">B359-C359</f>
        <v>0</v>
      </c>
      <c r="H359" s="8" t="n">
        <f aca="false">G10+G9*C359</f>
        <v>0.000175697212715375</v>
      </c>
      <c r="I359" s="8" t="n">
        <f aca="false">D359-H359</f>
        <v>-0.000175697212715375</v>
      </c>
      <c r="J359" s="8" t="n">
        <f aca="false">C359+D359/(G12*G6)</f>
        <v>0.0513</v>
      </c>
      <c r="K359" s="4" t="n">
        <f aca="false">(A359-$A$2)/365</f>
        <v>1.47671232876712</v>
      </c>
      <c r="L359" s="8" t="n">
        <f aca="false">IFERROR(AVERAGE(J300:J359),"")</f>
        <v>0.0526324651835926</v>
      </c>
    </row>
    <row r="360" customFormat="false" ht="15" hidden="false" customHeight="false" outlineLevel="0" collapsed="false">
      <c r="A360" s="3" t="n">
        <v>46091</v>
      </c>
      <c r="B360" s="4" t="n">
        <f aca="false">0.0512</f>
        <v>0.0512</v>
      </c>
      <c r="C360" s="4" t="n">
        <f aca="false">B359</f>
        <v>0.0513</v>
      </c>
      <c r="D360" s="4" t="n">
        <f aca="false">B360-C360</f>
        <v>-9.99999999999959E-005</v>
      </c>
      <c r="H360" s="8" t="n">
        <f aca="false">G10+G9*C360</f>
        <v>0.000175697212715375</v>
      </c>
      <c r="I360" s="8" t="n">
        <f aca="false">D360-H360</f>
        <v>-0.000275697212715371</v>
      </c>
      <c r="J360" s="8" t="n">
        <f aca="false">C360+D360/(G12*G6)</f>
        <v>0.0483407191832323</v>
      </c>
      <c r="K360" s="4" t="n">
        <f aca="false">(A360-$A$2)/365</f>
        <v>1.47945205479452</v>
      </c>
      <c r="L360" s="8" t="n">
        <f aca="false">IFERROR(AVERAGE(J301:J360),"")</f>
        <v>0.0525648105033131</v>
      </c>
    </row>
    <row r="361" customFormat="false" ht="15" hidden="false" customHeight="false" outlineLevel="0" collapsed="false">
      <c r="A361" s="3" t="n">
        <v>46092</v>
      </c>
      <c r="B361" s="4" t="n">
        <f aca="false">0.0513</f>
        <v>0.0513</v>
      </c>
      <c r="C361" s="4" t="n">
        <f aca="false">B360</f>
        <v>0.0512</v>
      </c>
      <c r="D361" s="4" t="n">
        <f aca="false">B361-C361</f>
        <v>9.99999999999959E-005</v>
      </c>
      <c r="H361" s="8" t="n">
        <f aca="false">G10+G9*C361</f>
        <v>0.000179076412128739</v>
      </c>
      <c r="I361" s="8" t="n">
        <f aca="false">D361-H361</f>
        <v>-7.90764121287428E-005</v>
      </c>
      <c r="J361" s="8" t="n">
        <f aca="false">C361+D361/(G12*G6)</f>
        <v>0.0541592808167677</v>
      </c>
      <c r="K361" s="4" t="n">
        <f aca="false">(A361-$A$2)/365</f>
        <v>1.48219178082192</v>
      </c>
      <c r="L361" s="8" t="n">
        <f aca="false">IFERROR(AVERAGE(J302:J361),"")</f>
        <v>0.0525941318502592</v>
      </c>
    </row>
    <row r="362" customFormat="false" ht="15" hidden="false" customHeight="false" outlineLevel="0" collapsed="false">
      <c r="A362" s="3" t="n">
        <v>46093</v>
      </c>
      <c r="B362" s="4" t="n">
        <f aca="false">0.0512</f>
        <v>0.0512</v>
      </c>
      <c r="C362" s="4" t="n">
        <f aca="false">B361</f>
        <v>0.0513</v>
      </c>
      <c r="D362" s="4" t="n">
        <f aca="false">B362-C362</f>
        <v>-9.99999999999959E-005</v>
      </c>
      <c r="H362" s="8" t="n">
        <f aca="false">G10+G9*C362</f>
        <v>0.000175697212715375</v>
      </c>
      <c r="I362" s="8" t="n">
        <f aca="false">D362-H362</f>
        <v>-0.000275697212715371</v>
      </c>
      <c r="J362" s="8" t="n">
        <f aca="false">C362+D362/(G12*G6)</f>
        <v>0.0483407191832323</v>
      </c>
      <c r="K362" s="4" t="n">
        <f aca="false">(A362-$A$2)/365</f>
        <v>1.48493150684932</v>
      </c>
      <c r="L362" s="8" t="n">
        <f aca="false">IFERROR(AVERAGE(J303:J362),"")</f>
        <v>0.0525264771699798</v>
      </c>
    </row>
    <row r="363" customFormat="false" ht="15" hidden="false" customHeight="false" outlineLevel="0" collapsed="false">
      <c r="A363" s="3" t="n">
        <v>46094</v>
      </c>
      <c r="B363" s="4" t="n">
        <f aca="false">0.0513</f>
        <v>0.0513</v>
      </c>
      <c r="C363" s="4" t="n">
        <f aca="false">B362</f>
        <v>0.0512</v>
      </c>
      <c r="D363" s="4" t="n">
        <f aca="false">B363-C363</f>
        <v>9.99999999999959E-005</v>
      </c>
      <c r="H363" s="8" t="n">
        <f aca="false">G10+G9*C363</f>
        <v>0.000179076412128739</v>
      </c>
      <c r="I363" s="8" t="n">
        <f aca="false">D363-H363</f>
        <v>-7.90764121287428E-005</v>
      </c>
      <c r="J363" s="8" t="n">
        <f aca="false">C363+D363/(G12*G6)</f>
        <v>0.0541592808167677</v>
      </c>
      <c r="K363" s="4" t="n">
        <f aca="false">(A363-$A$2)/365</f>
        <v>1.48767123287671</v>
      </c>
      <c r="L363" s="8" t="n">
        <f aca="false">IFERROR(AVERAGE(J304:J363),"")</f>
        <v>0.0525557985169259</v>
      </c>
    </row>
    <row r="364" customFormat="false" ht="15" hidden="false" customHeight="false" outlineLevel="0" collapsed="false">
      <c r="A364" s="3" t="n">
        <v>46097</v>
      </c>
      <c r="B364" s="4" t="n">
        <f aca="false">0.0538</f>
        <v>0.0538</v>
      </c>
      <c r="C364" s="4" t="n">
        <f aca="false">B363</f>
        <v>0.0513</v>
      </c>
      <c r="D364" s="4" t="n">
        <f aca="false">B364-C364</f>
        <v>0.0025</v>
      </c>
      <c r="H364" s="8" t="n">
        <f aca="false">G10+G9*C364</f>
        <v>0.000175697212715375</v>
      </c>
      <c r="I364" s="8" t="n">
        <f aca="false">D364-H364</f>
        <v>0.00232430278728463</v>
      </c>
      <c r="J364" s="8" t="n">
        <f aca="false">C364+D364/(G12*G6)</f>
        <v>0.125282020419195</v>
      </c>
      <c r="K364" s="4" t="n">
        <f aca="false">(A364-$A$2)/365</f>
        <v>1.4958904109589</v>
      </c>
      <c r="L364" s="8" t="n">
        <f aca="false">IFERROR(AVERAGE(J305:J364),"")</f>
        <v>0.053474570775569</v>
      </c>
    </row>
    <row r="365" customFormat="false" ht="15" hidden="false" customHeight="false" outlineLevel="0" collapsed="false">
      <c r="A365" s="3" t="n">
        <v>46098</v>
      </c>
      <c r="B365" s="4" t="n">
        <f aca="false">0.0532</f>
        <v>0.0532</v>
      </c>
      <c r="C365" s="4" t="n">
        <f aca="false">B364</f>
        <v>0.0538</v>
      </c>
      <c r="D365" s="4" t="n">
        <f aca="false">B365-C365</f>
        <v>-0.000599999999999996</v>
      </c>
      <c r="H365" s="8" t="n">
        <f aca="false">G10+G9*C365</f>
        <v>9.12172273812842E-005</v>
      </c>
      <c r="I365" s="8" t="n">
        <f aca="false">D365-H365</f>
        <v>-0.000691217227381281</v>
      </c>
      <c r="J365" s="8" t="n">
        <f aca="false">C365+D365/(G12*G6)</f>
        <v>0.0360443150993934</v>
      </c>
      <c r="K365" s="4" t="n">
        <f aca="false">(A365-$A$2)/365</f>
        <v>1.4986301369863</v>
      </c>
      <c r="L365" s="8" t="n">
        <f aca="false">IFERROR(AVERAGE(J306:J365),"")</f>
        <v>0.0524028344760875</v>
      </c>
    </row>
    <row r="366" customFormat="false" ht="15" hidden="false" customHeight="false" outlineLevel="0" collapsed="false">
      <c r="A366" s="3" t="n">
        <v>46099</v>
      </c>
      <c r="B366" s="4" t="n">
        <f aca="false">0.0534</f>
        <v>0.0534</v>
      </c>
      <c r="C366" s="4" t="n">
        <f aca="false">B365</f>
        <v>0.0532</v>
      </c>
      <c r="D366" s="4" t="n">
        <f aca="false">B366-C366</f>
        <v>0.000199999999999992</v>
      </c>
      <c r="H366" s="8" t="n">
        <f aca="false">G10+G9*C366</f>
        <v>0.000111492423861466</v>
      </c>
      <c r="I366" s="8" t="n">
        <f aca="false">D366-H366</f>
        <v>8.8507576138526E-005</v>
      </c>
      <c r="J366" s="8" t="n">
        <f aca="false">C366+D366/(G12*G6)</f>
        <v>0.0591185616335354</v>
      </c>
      <c r="K366" s="4" t="n">
        <f aca="false">(A366-$A$2)/365</f>
        <v>1.5013698630137</v>
      </c>
      <c r="L366" s="8" t="n">
        <f aca="false">IFERROR(AVERAGE(J307:J366),"")</f>
        <v>0.0520342517141313</v>
      </c>
    </row>
    <row r="367" customFormat="false" ht="15" hidden="false" customHeight="false" outlineLevel="0" collapsed="false">
      <c r="A367" s="3" t="n">
        <v>46101</v>
      </c>
      <c r="B367" s="4" t="n">
        <f aca="false">0.054</f>
        <v>0.054</v>
      </c>
      <c r="C367" s="4" t="n">
        <f aca="false">B366</f>
        <v>0.0534</v>
      </c>
      <c r="D367" s="4" t="n">
        <f aca="false">B367-C367</f>
        <v>0.00060000000000001</v>
      </c>
      <c r="H367" s="8" t="n">
        <f aca="false">G10+G9*C367</f>
        <v>0.000104734025034739</v>
      </c>
      <c r="I367" s="8" t="n">
        <f aca="false">D367-H367</f>
        <v>0.000495265974965271</v>
      </c>
      <c r="J367" s="8" t="n">
        <f aca="false">C367+D367/(G12*G6)</f>
        <v>0.0711556849006071</v>
      </c>
      <c r="K367" s="4" t="n">
        <f aca="false">(A367-$A$2)/365</f>
        <v>1.50684931506849</v>
      </c>
      <c r="L367" s="8" t="n">
        <f aca="false">IFERROR(AVERAGE(J308:J367),"")</f>
        <v>0.0528377146122155</v>
      </c>
    </row>
    <row r="368" customFormat="false" ht="15" hidden="false" customHeight="false" outlineLevel="0" collapsed="false">
      <c r="A368" s="3" t="n">
        <v>46104</v>
      </c>
      <c r="B368" s="4" t="n">
        <f aca="false">0.0538</f>
        <v>0.0538</v>
      </c>
      <c r="C368" s="4" t="n">
        <f aca="false">B367</f>
        <v>0.054</v>
      </c>
      <c r="D368" s="4" t="n">
        <f aca="false">B368-C368</f>
        <v>-0.000200000000000006</v>
      </c>
      <c r="H368" s="8" t="n">
        <f aca="false">G10+G9*C368</f>
        <v>8.44588285545567E-005</v>
      </c>
      <c r="I368" s="8" t="n">
        <f aca="false">D368-H368</f>
        <v>-0.000284458828554562</v>
      </c>
      <c r="J368" s="8" t="n">
        <f aca="false">C368+D368/(G12*G6)</f>
        <v>0.0480814383664643</v>
      </c>
      <c r="K368" s="4" t="n">
        <f aca="false">(A368-$A$2)/365</f>
        <v>1.51506849315069</v>
      </c>
      <c r="L368" s="8" t="n">
        <f aca="false">IFERROR(AVERAGE(J309:J368),"")</f>
        <v>0.0527817265986027</v>
      </c>
    </row>
    <row r="369" customFormat="false" ht="15" hidden="false" customHeight="false" outlineLevel="0" collapsed="false">
      <c r="A369" s="3" t="n">
        <v>46105</v>
      </c>
      <c r="B369" s="4" t="n">
        <f aca="false">0.0539</f>
        <v>0.0539</v>
      </c>
      <c r="C369" s="4" t="n">
        <f aca="false">B368</f>
        <v>0.0538</v>
      </c>
      <c r="D369" s="4" t="n">
        <f aca="false">B369-C369</f>
        <v>9.99999999999959E-005</v>
      </c>
      <c r="H369" s="8" t="n">
        <f aca="false">G10+G9*C369</f>
        <v>9.12172273812842E-005</v>
      </c>
      <c r="I369" s="8" t="n">
        <f aca="false">D369-H369</f>
        <v>8.78277261871178E-006</v>
      </c>
      <c r="J369" s="8" t="n">
        <f aca="false">C369+D369/(G12*G6)</f>
        <v>0.0567592808167677</v>
      </c>
      <c r="K369" s="4" t="n">
        <f aca="false">(A369-$A$2)/365</f>
        <v>1.51780821917808</v>
      </c>
      <c r="L369" s="8" t="n">
        <f aca="false">IFERROR(AVERAGE(J310:J369),"")</f>
        <v>0.0527733932652693</v>
      </c>
    </row>
    <row r="370" customFormat="false" ht="15" hidden="false" customHeight="false" outlineLevel="0" collapsed="false">
      <c r="A370" s="3" t="n">
        <v>46106</v>
      </c>
      <c r="B370" s="4" t="n">
        <f aca="false">0.0539</f>
        <v>0.0539</v>
      </c>
      <c r="C370" s="4" t="n">
        <f aca="false">B369</f>
        <v>0.0539</v>
      </c>
      <c r="D370" s="4" t="n">
        <f aca="false">B370-C370</f>
        <v>0</v>
      </c>
      <c r="H370" s="8" t="n">
        <f aca="false">G10+G9*C370</f>
        <v>8.78380279679205E-005</v>
      </c>
      <c r="I370" s="8" t="n">
        <f aca="false">D370-H370</f>
        <v>-8.78380279679205E-005</v>
      </c>
      <c r="J370" s="8" t="n">
        <f aca="false">C370+D370/(G12*G6)</f>
        <v>0.0539</v>
      </c>
      <c r="K370" s="4" t="n">
        <f aca="false">(A370-$A$2)/365</f>
        <v>1.52054794520548</v>
      </c>
      <c r="L370" s="8" t="n">
        <f aca="false">IFERROR(AVERAGE(J311:J370),"")</f>
        <v>0.0524691318502592</v>
      </c>
    </row>
    <row r="371" customFormat="false" ht="15" hidden="false" customHeight="false" outlineLevel="0" collapsed="false">
      <c r="A371" s="3" t="n">
        <v>46108</v>
      </c>
      <c r="B371" s="4" t="n">
        <f aca="false">0.0554</f>
        <v>0.0554</v>
      </c>
      <c r="C371" s="4" t="n">
        <f aca="false">B370</f>
        <v>0.0539</v>
      </c>
      <c r="D371" s="4" t="n">
        <f aca="false">B371-C371</f>
        <v>0.0015</v>
      </c>
      <c r="H371" s="8" t="n">
        <f aca="false">G10+G9*C371</f>
        <v>8.78380279679205E-005</v>
      </c>
      <c r="I371" s="8" t="n">
        <f aca="false">D371-H371</f>
        <v>0.00141216197203208</v>
      </c>
      <c r="J371" s="8" t="n">
        <f aca="false">C371+D371/(G12*G6)</f>
        <v>0.0982892122515169</v>
      </c>
      <c r="K371" s="4" t="n">
        <f aca="false">(A371-$A$2)/365</f>
        <v>1.52602739726027</v>
      </c>
      <c r="L371" s="8" t="n">
        <f aca="false">IFERROR(AVERAGE(J312:J371),"")</f>
        <v>0.0530426546802795</v>
      </c>
    </row>
    <row r="372" customFormat="false" ht="15" hidden="false" customHeight="false" outlineLevel="0" collapsed="false">
      <c r="A372" s="3" t="n">
        <v>46111</v>
      </c>
      <c r="B372" s="4" t="n">
        <f aca="false">0.0698</f>
        <v>0.0698</v>
      </c>
      <c r="C372" s="4" t="n">
        <f aca="false">B371</f>
        <v>0.0554</v>
      </c>
      <c r="D372" s="4" t="n">
        <f aca="false">B372-C372</f>
        <v>0.0144</v>
      </c>
      <c r="H372" s="8" t="n">
        <f aca="false">G10+G9*C372</f>
        <v>3.71500367674659E-005</v>
      </c>
      <c r="I372" s="8" t="n">
        <f aca="false">D372-H372</f>
        <v>0.0143628499632325</v>
      </c>
      <c r="J372" s="8" t="n">
        <f aca="false">C372+D372/(G12*G6)</f>
        <v>0.481536437614562</v>
      </c>
      <c r="K372" s="4" t="n">
        <f aca="false">(A372-$A$2)/365</f>
        <v>1.53424657534247</v>
      </c>
      <c r="L372" s="8" t="n">
        <f aca="false">IFERROR(AVERAGE(J313:J372),"")</f>
        <v>0.0600972739602427</v>
      </c>
    </row>
    <row r="373" customFormat="false" ht="15" hidden="false" customHeight="false" outlineLevel="0" collapsed="false">
      <c r="A373" s="3" t="n">
        <v>46114</v>
      </c>
      <c r="B373" s="4" t="n">
        <f aca="false">0.0524</f>
        <v>0.0524</v>
      </c>
      <c r="C373" s="4" t="n">
        <f aca="false">B372</f>
        <v>0.0698</v>
      </c>
      <c r="D373" s="4" t="n">
        <f aca="false">B373-C373</f>
        <v>-0.0174</v>
      </c>
      <c r="H373" s="8" t="n">
        <f aca="false">G10+G9*C373</f>
        <v>-0.000449454678756899</v>
      </c>
      <c r="I373" s="8" t="n">
        <f aca="false">D373-H373</f>
        <v>-0.0169505453212431</v>
      </c>
      <c r="J373" s="8" t="n">
        <f aca="false">C373+D373/(G12*G6)</f>
        <v>-0.445114862117596</v>
      </c>
      <c r="K373" s="4" t="n">
        <f aca="false">(A373-$A$2)/365</f>
        <v>1.54246575342466</v>
      </c>
      <c r="L373" s="8" t="n">
        <f aca="false">IFERROR(AVERAGE(J314:J373),"")</f>
        <v>0.0516073955507777</v>
      </c>
    </row>
    <row r="374" customFormat="false" ht="15" hidden="false" customHeight="false" outlineLevel="0" collapsed="false">
      <c r="A374" s="3" t="n">
        <v>46118</v>
      </c>
      <c r="B374" s="4" t="n">
        <f aca="false">0.0513</f>
        <v>0.0513</v>
      </c>
      <c r="C374" s="4" t="n">
        <f aca="false">B373</f>
        <v>0.0524</v>
      </c>
      <c r="D374" s="4" t="n">
        <f aca="false">B374-C374</f>
        <v>-0.0011</v>
      </c>
      <c r="H374" s="8" t="n">
        <f aca="false">G10+G9*C374</f>
        <v>0.000138526019168375</v>
      </c>
      <c r="I374" s="8" t="n">
        <f aca="false">D374-H374</f>
        <v>-0.00123852601916838</v>
      </c>
      <c r="J374" s="8" t="n">
        <f aca="false">C374+D374/(G12*G6)</f>
        <v>0.0198479110155542</v>
      </c>
      <c r="K374" s="4" t="n">
        <f aca="false">(A374-$A$2)/365</f>
        <v>1.55342465753425</v>
      </c>
      <c r="L374" s="8" t="n">
        <f aca="false">IFERROR(AVERAGE(J315:J374),"")</f>
        <v>0.0510098607343703</v>
      </c>
    </row>
    <row r="375" customFormat="false" ht="15" hidden="false" customHeight="false" outlineLevel="0" collapsed="false">
      <c r="A375" s="3" t="n">
        <v>46119</v>
      </c>
      <c r="B375" s="4" t="n">
        <f aca="false">0.0513</f>
        <v>0.0513</v>
      </c>
      <c r="C375" s="4" t="n">
        <f aca="false">B374</f>
        <v>0.0513</v>
      </c>
      <c r="D375" s="4" t="n">
        <f aca="false">B375-C375</f>
        <v>0</v>
      </c>
      <c r="H375" s="8" t="n">
        <f aca="false">G10+G9*C375</f>
        <v>0.000175697212715375</v>
      </c>
      <c r="I375" s="8" t="n">
        <f aca="false">D375-H375</f>
        <v>-0.000175697212715375</v>
      </c>
      <c r="J375" s="8" t="n">
        <f aca="false">C375+D375/(G12*G6)</f>
        <v>0.0513</v>
      </c>
      <c r="K375" s="4" t="n">
        <f aca="false">(A375-$A$2)/365</f>
        <v>1.55616438356164</v>
      </c>
      <c r="L375" s="8" t="n">
        <f aca="false">IFERROR(AVERAGE(J316:J375),"")</f>
        <v>0.0504433139315757</v>
      </c>
    </row>
    <row r="376" customFormat="false" ht="15" hidden="false" customHeight="false" outlineLevel="0" collapsed="false">
      <c r="A376" s="3" t="n">
        <v>46120</v>
      </c>
      <c r="B376" s="4" t="n">
        <f aca="false">0.0513</f>
        <v>0.0513</v>
      </c>
      <c r="C376" s="4" t="n">
        <f aca="false">B375</f>
        <v>0.0513</v>
      </c>
      <c r="D376" s="4" t="n">
        <f aca="false">B376-C376</f>
        <v>0</v>
      </c>
      <c r="H376" s="8" t="n">
        <f aca="false">G10+G9*C376</f>
        <v>0.000175697212715375</v>
      </c>
      <c r="I376" s="8" t="n">
        <f aca="false">D376-H376</f>
        <v>-0.000175697212715375</v>
      </c>
      <c r="J376" s="8" t="n">
        <f aca="false">C376+D376/(G12*G6)</f>
        <v>0.0513</v>
      </c>
      <c r="K376" s="4" t="n">
        <f aca="false">(A376-$A$2)/365</f>
        <v>1.55890410958904</v>
      </c>
      <c r="L376" s="8" t="n">
        <f aca="false">IFERROR(AVERAGE(J317:J376),"")</f>
        <v>0.0514877049113366</v>
      </c>
    </row>
    <row r="377" customFormat="false" ht="15" hidden="false" customHeight="false" outlineLevel="0" collapsed="false">
      <c r="A377" s="3" t="n">
        <v>46121</v>
      </c>
      <c r="B377" s="4" t="n">
        <f aca="false">0.0513</f>
        <v>0.0513</v>
      </c>
      <c r="C377" s="4" t="n">
        <f aca="false">B376</f>
        <v>0.0513</v>
      </c>
      <c r="D377" s="4" t="n">
        <f aca="false">B377-C377</f>
        <v>0</v>
      </c>
      <c r="H377" s="8" t="n">
        <f aca="false">G10+G9*C377</f>
        <v>0.000175697212715375</v>
      </c>
      <c r="I377" s="8" t="n">
        <f aca="false">D377-H377</f>
        <v>-0.000175697212715375</v>
      </c>
      <c r="J377" s="8" t="n">
        <f aca="false">C377+D377/(G12*G6)</f>
        <v>0.0513</v>
      </c>
      <c r="K377" s="4" t="n">
        <f aca="false">(A377-$A$2)/365</f>
        <v>1.56164383561644</v>
      </c>
      <c r="L377" s="8" t="n">
        <f aca="false">IFERROR(AVERAGE(J318:J377),"")</f>
        <v>0.05143603824467</v>
      </c>
    </row>
    <row r="378" customFormat="false" ht="15" hidden="false" customHeight="false" outlineLevel="0" collapsed="false">
      <c r="A378" s="3" t="n">
        <v>46122</v>
      </c>
      <c r="B378" s="4" t="n">
        <f aca="false">0.0509</f>
        <v>0.0509</v>
      </c>
      <c r="C378" s="4" t="n">
        <f aca="false">B377</f>
        <v>0.0513</v>
      </c>
      <c r="D378" s="4" t="n">
        <f aca="false">B378-C378</f>
        <v>-0.000399999999999998</v>
      </c>
      <c r="H378" s="8" t="n">
        <f aca="false">G10+G9*C378</f>
        <v>0.000175697212715375</v>
      </c>
      <c r="I378" s="8" t="n">
        <f aca="false">D378-H378</f>
        <v>-0.000575697212715373</v>
      </c>
      <c r="J378" s="8" t="n">
        <f aca="false">C378+D378/(G12*G6)</f>
        <v>0.0394628767329289</v>
      </c>
      <c r="K378" s="4" t="n">
        <f aca="false">(A378-$A$2)/365</f>
        <v>1.56438356164384</v>
      </c>
      <c r="L378" s="8" t="n">
        <f aca="false">IFERROR(AVERAGE(J319:J378),"")</f>
        <v>0.0509404794554881</v>
      </c>
    </row>
    <row r="379" customFormat="false" ht="15" hidden="false" customHeight="false" outlineLevel="0" collapsed="false">
      <c r="A379" s="3" t="n">
        <v>46125</v>
      </c>
      <c r="B379" s="4" t="n">
        <f aca="false">0.0509</f>
        <v>0.0509</v>
      </c>
      <c r="C379" s="4" t="n">
        <f aca="false">B378</f>
        <v>0.0509</v>
      </c>
      <c r="D379" s="4" t="n">
        <f aca="false">B379-C379</f>
        <v>0</v>
      </c>
      <c r="H379" s="8" t="n">
        <f aca="false">G10+G9*C379</f>
        <v>0.00018921401036883</v>
      </c>
      <c r="I379" s="8" t="n">
        <f aca="false">D379-H379</f>
        <v>-0.00018921401036883</v>
      </c>
      <c r="J379" s="8" t="n">
        <f aca="false">C379+D379/(G12*G6)</f>
        <v>0.0509</v>
      </c>
      <c r="K379" s="4" t="n">
        <f aca="false">(A379-$A$2)/365</f>
        <v>1.57260273972603</v>
      </c>
      <c r="L379" s="8" t="n">
        <f aca="false">IFERROR(AVERAGE(J320:J379),"")</f>
        <v>0.0513670262582828</v>
      </c>
    </row>
    <row r="380" customFormat="false" ht="15" hidden="false" customHeight="false" outlineLevel="0" collapsed="false">
      <c r="A380" s="3" t="n">
        <v>46127</v>
      </c>
      <c r="B380" s="4" t="n">
        <f aca="false">0.0512</f>
        <v>0.0512</v>
      </c>
      <c r="C380" s="4" t="n">
        <f aca="false">B379</f>
        <v>0.0509</v>
      </c>
      <c r="D380" s="4" t="n">
        <f aca="false">B380-C380</f>
        <v>0.000300000000000002</v>
      </c>
      <c r="H380" s="8" t="n">
        <f aca="false">G10+G9*C380</f>
        <v>0.00018921401036883</v>
      </c>
      <c r="I380" s="8" t="n">
        <f aca="false">D380-H380</f>
        <v>0.000110785989631172</v>
      </c>
      <c r="J380" s="8" t="n">
        <f aca="false">C380+D380/(G12*G6)</f>
        <v>0.0597778424503034</v>
      </c>
      <c r="K380" s="4" t="n">
        <f aca="false">(A380-$A$2)/365</f>
        <v>1.57808219178082</v>
      </c>
      <c r="L380" s="8" t="n">
        <f aca="false">IFERROR(AVERAGE(J321:J380),"")</f>
        <v>0.0517115970338518</v>
      </c>
    </row>
    <row r="381" customFormat="false" ht="15" hidden="false" customHeight="false" outlineLevel="0" collapsed="false">
      <c r="A381" s="3" t="n">
        <v>46128</v>
      </c>
      <c r="B381" s="4" t="n">
        <f aca="false">0.0513</f>
        <v>0.0513</v>
      </c>
      <c r="C381" s="4" t="n">
        <f aca="false">B380</f>
        <v>0.0512</v>
      </c>
      <c r="D381" s="4" t="n">
        <f aca="false">B381-C381</f>
        <v>9.99999999999959E-005</v>
      </c>
      <c r="H381" s="8" t="n">
        <f aca="false">G10+G9*C381</f>
        <v>0.000179076412128739</v>
      </c>
      <c r="I381" s="8" t="n">
        <f aca="false">D381-H381</f>
        <v>-7.90764121287428E-005</v>
      </c>
      <c r="J381" s="8" t="n">
        <f aca="false">C381+D381/(G12*G6)</f>
        <v>0.0541592808167677</v>
      </c>
      <c r="K381" s="4" t="n">
        <f aca="false">(A381-$A$2)/365</f>
        <v>1.58082191780822</v>
      </c>
      <c r="L381" s="8" t="n">
        <f aca="false">IFERROR(AVERAGE(J322:J381),"")</f>
        <v>0.05123103824467</v>
      </c>
    </row>
    <row r="382" customFormat="false" ht="15" hidden="false" customHeight="false" outlineLevel="0" collapsed="false">
      <c r="A382" s="3" t="n">
        <v>46129</v>
      </c>
      <c r="B382" s="4" t="n">
        <f aca="false">0.0513</f>
        <v>0.0513</v>
      </c>
      <c r="C382" s="4" t="n">
        <f aca="false">B381</f>
        <v>0.0513</v>
      </c>
      <c r="D382" s="4" t="n">
        <f aca="false">B382-C382</f>
        <v>0</v>
      </c>
      <c r="H382" s="8" t="n">
        <f aca="false">G10+G9*C382</f>
        <v>0.000175697212715375</v>
      </c>
      <c r="I382" s="8" t="n">
        <f aca="false">D382-H382</f>
        <v>-0.000175697212715375</v>
      </c>
      <c r="J382" s="8" t="n">
        <f aca="false">C382+D382/(G12*G6)</f>
        <v>0.0513</v>
      </c>
      <c r="K382" s="4" t="n">
        <f aca="false">(A382-$A$2)/365</f>
        <v>1.58356164383562</v>
      </c>
      <c r="L382" s="8" t="n">
        <f aca="false">IFERROR(AVERAGE(J323:J382),"")</f>
        <v>0.050686158108542</v>
      </c>
    </row>
    <row r="383" customFormat="false" ht="15" hidden="false" customHeight="false" outlineLevel="0" collapsed="false">
      <c r="A383" s="3" t="n">
        <v>46132</v>
      </c>
      <c r="B383" s="4" t="n">
        <f aca="false">0.0513</f>
        <v>0.0513</v>
      </c>
      <c r="C383" s="4" t="n">
        <f aca="false">B382</f>
        <v>0.0513</v>
      </c>
      <c r="D383" s="4" t="n">
        <f aca="false">B383-C383</f>
        <v>0</v>
      </c>
      <c r="H383" s="8" t="n">
        <f aca="false">G10+G9*C383</f>
        <v>0.000175697212715375</v>
      </c>
      <c r="I383" s="8" t="n">
        <f aca="false">D383-H383</f>
        <v>-0.000175697212715375</v>
      </c>
      <c r="J383" s="8" t="n">
        <f aca="false">C383+D383/(G12*G6)</f>
        <v>0.0513</v>
      </c>
      <c r="K383" s="4" t="n">
        <f aca="false">(A383-$A$2)/365</f>
        <v>1.59178082191781</v>
      </c>
      <c r="L383" s="8" t="n">
        <f aca="false">IFERROR(AVERAGE(J324:J383),"")</f>
        <v>0.0513576449794006</v>
      </c>
    </row>
    <row r="384" customFormat="false" ht="15" hidden="false" customHeight="false" outlineLevel="0" collapsed="false">
      <c r="A384" s="3" t="n">
        <v>46133</v>
      </c>
      <c r="B384" s="4" t="n">
        <f aca="false">0.0518</f>
        <v>0.0518</v>
      </c>
      <c r="C384" s="4" t="n">
        <f aca="false">B383</f>
        <v>0.0513</v>
      </c>
      <c r="D384" s="4" t="n">
        <f aca="false">B384-C384</f>
        <v>0.0005</v>
      </c>
      <c r="H384" s="8" t="n">
        <f aca="false">G10+G9*C384</f>
        <v>0.000175697212715375</v>
      </c>
      <c r="I384" s="8" t="n">
        <f aca="false">D384-H384</f>
        <v>0.000324302787284625</v>
      </c>
      <c r="J384" s="8" t="n">
        <f aca="false">C384+D384/(G12*G6)</f>
        <v>0.066096404083839</v>
      </c>
      <c r="K384" s="4" t="n">
        <f aca="false">(A384-$A$2)/365</f>
        <v>1.59452054794521</v>
      </c>
      <c r="L384" s="8" t="n">
        <f aca="false">IFERROR(AVERAGE(J325:J384),"")</f>
        <v>0.0515609183807979</v>
      </c>
    </row>
    <row r="385" customFormat="false" ht="15" hidden="false" customHeight="false" outlineLevel="0" collapsed="false">
      <c r="A385" s="3" t="n">
        <v>46134</v>
      </c>
      <c r="B385" s="4" t="n">
        <f aca="false">0.0538</f>
        <v>0.0538</v>
      </c>
      <c r="C385" s="4" t="n">
        <f aca="false">B384</f>
        <v>0.0518</v>
      </c>
      <c r="D385" s="4" t="n">
        <f aca="false">B385-C385</f>
        <v>0.002</v>
      </c>
      <c r="H385" s="8" t="n">
        <f aca="false">G10+G9*C385</f>
        <v>0.000158801215648557</v>
      </c>
      <c r="I385" s="8" t="n">
        <f aca="false">D385-H385</f>
        <v>0.00184119878435144</v>
      </c>
      <c r="J385" s="8" t="n">
        <f aca="false">C385+D385/(G12*G6)</f>
        <v>0.110985616335356</v>
      </c>
      <c r="K385" s="4" t="n">
        <f aca="false">(A385-$A$2)/365</f>
        <v>1.5972602739726</v>
      </c>
      <c r="L385" s="8" t="n">
        <f aca="false">IFERROR(AVERAGE(J326:J385),"")</f>
        <v>0.052315059931936</v>
      </c>
    </row>
    <row r="386" customFormat="false" ht="15" hidden="false" customHeight="false" outlineLevel="0" collapsed="false">
      <c r="A386" s="3" t="n">
        <v>46135</v>
      </c>
      <c r="B386" s="4" t="n">
        <f aca="false">0.0529</f>
        <v>0.0529</v>
      </c>
      <c r="C386" s="4" t="n">
        <f aca="false">B385</f>
        <v>0.0538</v>
      </c>
      <c r="D386" s="4" t="n">
        <f aca="false">B386-C386</f>
        <v>-0.000899999999999998</v>
      </c>
      <c r="H386" s="8" t="n">
        <f aca="false">G10+G9*C386</f>
        <v>9.12172273812842E-005</v>
      </c>
      <c r="I386" s="8" t="n">
        <f aca="false">D386-H386</f>
        <v>-0.000991217227381282</v>
      </c>
      <c r="J386" s="8" t="n">
        <f aca="false">C386+D386/(G12*G6)</f>
        <v>0.0271664726490899</v>
      </c>
      <c r="K386" s="4" t="n">
        <f aca="false">(A386-$A$2)/365</f>
        <v>1.6</v>
      </c>
      <c r="L386" s="8" t="n">
        <f aca="false">IFERROR(AVERAGE(J327:J386),"")</f>
        <v>0.0517148704352491</v>
      </c>
    </row>
    <row r="387" customFormat="false" ht="15" hidden="false" customHeight="false" outlineLevel="0" collapsed="false">
      <c r="A387" s="3" t="n">
        <v>46136</v>
      </c>
      <c r="B387" s="4" t="n">
        <f aca="false">0.0514</f>
        <v>0.0514</v>
      </c>
      <c r="C387" s="4" t="n">
        <f aca="false">B386</f>
        <v>0.0529</v>
      </c>
      <c r="D387" s="4" t="n">
        <f aca="false">B387-C387</f>
        <v>-0.00150000000000001</v>
      </c>
      <c r="H387" s="8" t="n">
        <f aca="false">G10+G9*C387</f>
        <v>0.000121630022101557</v>
      </c>
      <c r="I387" s="8" t="n">
        <f aca="false">D387-H387</f>
        <v>-0.00162163002210157</v>
      </c>
      <c r="J387" s="8" t="n">
        <f aca="false">C387+D387/(G12*G6)</f>
        <v>0.00851078774848288</v>
      </c>
      <c r="K387" s="4" t="n">
        <f aca="false">(A387-$A$2)/365</f>
        <v>1.6027397260274</v>
      </c>
      <c r="L387" s="8" t="n">
        <f aca="false">IFERROR(AVERAGE(J328:J387),"")</f>
        <v>0.0507987528568855</v>
      </c>
    </row>
    <row r="388" customFormat="false" ht="15" hidden="false" customHeight="false" outlineLevel="0" collapsed="false">
      <c r="A388" s="3" t="n">
        <v>46139</v>
      </c>
      <c r="B388" s="4" t="n">
        <f aca="false">0.0514</f>
        <v>0.0514</v>
      </c>
      <c r="C388" s="4" t="n">
        <f aca="false">B387</f>
        <v>0.0514</v>
      </c>
      <c r="D388" s="4" t="n">
        <f aca="false">B388-C388</f>
        <v>0</v>
      </c>
      <c r="H388" s="8" t="n">
        <f aca="false">G10+G9*C388</f>
        <v>0.000172318013302012</v>
      </c>
      <c r="I388" s="8" t="n">
        <f aca="false">D388-H388</f>
        <v>-0.000172318013302012</v>
      </c>
      <c r="J388" s="8" t="n">
        <f aca="false">C388+D388/(G12*G6)</f>
        <v>0.0514</v>
      </c>
      <c r="K388" s="4" t="n">
        <f aca="false">(A388-$A$2)/365</f>
        <v>1.61095890410959</v>
      </c>
      <c r="L388" s="8" t="n">
        <f aca="false">IFERROR(AVERAGE(J329:J388),"")</f>
        <v>0.0507897408704983</v>
      </c>
    </row>
    <row r="389" customFormat="false" ht="15" hidden="false" customHeight="false" outlineLevel="0" collapsed="false">
      <c r="A389" s="3" t="n">
        <v>46140</v>
      </c>
      <c r="B389" s="4" t="n">
        <f aca="false">0.0519</f>
        <v>0.0519</v>
      </c>
      <c r="C389" s="4" t="n">
        <f aca="false">B388</f>
        <v>0.0514</v>
      </c>
      <c r="D389" s="4" t="n">
        <f aca="false">B389-C389</f>
        <v>0.000500000000000007</v>
      </c>
      <c r="H389" s="8" t="n">
        <f aca="false">G10+G9*C389</f>
        <v>0.000172318013302012</v>
      </c>
      <c r="I389" s="8" t="n">
        <f aca="false">D389-H389</f>
        <v>0.000327681986697996</v>
      </c>
      <c r="J389" s="8" t="n">
        <f aca="false">C389+D389/(G12*G6)</f>
        <v>0.0661964040838392</v>
      </c>
      <c r="K389" s="4" t="n">
        <f aca="false">(A389-$A$2)/365</f>
        <v>1.61369863013699</v>
      </c>
      <c r="L389" s="8" t="n">
        <f aca="false">IFERROR(AVERAGE(J330:J389),"")</f>
        <v>0.0509303595916161</v>
      </c>
    </row>
    <row r="390" customFormat="false" ht="15" hidden="false" customHeight="false" outlineLevel="0" collapsed="false">
      <c r="A390" s="3" t="n">
        <v>46141</v>
      </c>
      <c r="B390" s="4" t="n">
        <f aca="false">0.0519</f>
        <v>0.0519</v>
      </c>
      <c r="C390" s="4" t="n">
        <f aca="false">B389</f>
        <v>0.0519</v>
      </c>
      <c r="D390" s="4" t="n">
        <f aca="false">B390-C390</f>
        <v>0</v>
      </c>
      <c r="H390" s="8" t="n">
        <f aca="false">G10+G9*C390</f>
        <v>0.000155422016235193</v>
      </c>
      <c r="I390" s="8" t="n">
        <f aca="false">D390-H390</f>
        <v>-0.000155422016235193</v>
      </c>
      <c r="J390" s="8" t="n">
        <f aca="false">C390+D390/(G12*G6)</f>
        <v>0.0519</v>
      </c>
      <c r="K390" s="4" t="n">
        <f aca="false">(A390-$A$2)/365</f>
        <v>1.61643835616438</v>
      </c>
      <c r="L390" s="8" t="n">
        <f aca="false">IFERROR(AVERAGE(J331:J390),"")</f>
        <v>0.0504364674691009</v>
      </c>
    </row>
    <row r="391" customFormat="false" ht="15" hidden="false" customHeight="false" outlineLevel="0" collapsed="false">
      <c r="A391" s="3" t="n">
        <v>46142</v>
      </c>
      <c r="B391" s="4" t="n">
        <f aca="false">0.0534</f>
        <v>0.0534</v>
      </c>
      <c r="C391" s="4" t="n">
        <f aca="false">B390</f>
        <v>0.0519</v>
      </c>
      <c r="D391" s="4" t="n">
        <f aca="false">B391-C391</f>
        <v>0.00149999999999999</v>
      </c>
      <c r="H391" s="8" t="n">
        <f aca="false">G10+G9*C391</f>
        <v>0.000155422016235193</v>
      </c>
      <c r="I391" s="8" t="n">
        <f aca="false">D391-H391</f>
        <v>0.0013445779837648</v>
      </c>
      <c r="J391" s="8" t="n">
        <f aca="false">C391+D391/(G12*G6)</f>
        <v>0.0962892122515167</v>
      </c>
      <c r="K391" s="4" t="n">
        <f aca="false">(A391-$A$2)/365</f>
        <v>1.61917808219178</v>
      </c>
      <c r="L391" s="8" t="n">
        <f aca="false">IFERROR(AVERAGE(J332:J391),"")</f>
        <v>0.0518017865305387</v>
      </c>
    </row>
    <row r="392" customFormat="false" ht="15" hidden="false" customHeight="false" outlineLevel="0" collapsed="false">
      <c r="A392" s="3" t="n">
        <v>46146</v>
      </c>
      <c r="B392" s="4" t="n">
        <f aca="false">0.0523</f>
        <v>0.0523</v>
      </c>
      <c r="C392" s="4" t="n">
        <f aca="false">B391</f>
        <v>0.0534</v>
      </c>
      <c r="D392" s="4" t="n">
        <f aca="false">B392-C392</f>
        <v>-0.00109999999999999</v>
      </c>
      <c r="H392" s="8" t="n">
        <f aca="false">G10+G9*C392</f>
        <v>0.000104734025034739</v>
      </c>
      <c r="I392" s="8" t="n">
        <f aca="false">D392-H392</f>
        <v>-0.00120473402503473</v>
      </c>
      <c r="J392" s="8" t="n">
        <f aca="false">C392+D392/(G12*G6)</f>
        <v>0.0208479110155546</v>
      </c>
      <c r="K392" s="4" t="n">
        <f aca="false">(A392-$A$2)/365</f>
        <v>1.63013698630137</v>
      </c>
      <c r="L392" s="8" t="n">
        <f aca="false">IFERROR(AVERAGE(J333:J392),"")</f>
        <v>0.050995978312734</v>
      </c>
    </row>
    <row r="393" customFormat="false" ht="15" hidden="false" customHeight="false" outlineLevel="0" collapsed="false">
      <c r="A393" s="3" t="n">
        <v>46147</v>
      </c>
      <c r="B393" s="4" t="n">
        <f aca="false">0.0523</f>
        <v>0.0523</v>
      </c>
      <c r="C393" s="4" t="n">
        <f aca="false">B392</f>
        <v>0.0523</v>
      </c>
      <c r="D393" s="4" t="n">
        <f aca="false">B393-C393</f>
        <v>0</v>
      </c>
      <c r="H393" s="8" t="n">
        <f aca="false">G10+G9*C393</f>
        <v>0.000141905218581739</v>
      </c>
      <c r="I393" s="8" t="n">
        <f aca="false">D393-H393</f>
        <v>-0.000141905218581739</v>
      </c>
      <c r="J393" s="8" t="n">
        <f aca="false">C393+D393/(G12*G6)</f>
        <v>0.0523</v>
      </c>
      <c r="K393" s="4" t="n">
        <f aca="false">(A393-$A$2)/365</f>
        <v>1.63287671232877</v>
      </c>
      <c r="L393" s="8" t="n">
        <f aca="false">IFERROR(AVERAGE(J334:J393),"")</f>
        <v>0.0518897505713771</v>
      </c>
    </row>
    <row r="394" customFormat="false" ht="15" hidden="false" customHeight="false" outlineLevel="0" collapsed="false">
      <c r="A394" s="3" t="n">
        <v>46148</v>
      </c>
      <c r="B394" s="4" t="n">
        <f aca="false">0.0522</f>
        <v>0.0522</v>
      </c>
      <c r="C394" s="4" t="n">
        <f aca="false">B393</f>
        <v>0.0523</v>
      </c>
      <c r="D394" s="4" t="n">
        <f aca="false">B394-C394</f>
        <v>-0.00010000000000001</v>
      </c>
      <c r="H394" s="8" t="n">
        <f aca="false">G10+G9*C394</f>
        <v>0.000141905218581739</v>
      </c>
      <c r="I394" s="8" t="n">
        <f aca="false">D394-H394</f>
        <v>-0.000241905218581748</v>
      </c>
      <c r="J394" s="8" t="n">
        <f aca="false">C394+D394/(G12*G6)</f>
        <v>0.0493407191832319</v>
      </c>
      <c r="K394" s="4" t="n">
        <f aca="false">(A394-$A$2)/365</f>
        <v>1.63561643835616</v>
      </c>
      <c r="L394" s="8" t="n">
        <f aca="false">IFERROR(AVERAGE(J335:J394),"")</f>
        <v>0.0515821558230336</v>
      </c>
    </row>
    <row r="395" customFormat="false" ht="15" hidden="false" customHeight="false" outlineLevel="0" collapsed="false">
      <c r="A395" s="3" t="n">
        <v>46149</v>
      </c>
      <c r="B395" s="4" t="n">
        <f aca="false">0.0523</f>
        <v>0.0523</v>
      </c>
      <c r="C395" s="4" t="n">
        <f aca="false">B394</f>
        <v>0.0522</v>
      </c>
      <c r="D395" s="4" t="n">
        <f aca="false">B395-C395</f>
        <v>0.00010000000000001</v>
      </c>
      <c r="H395" s="8" t="n">
        <f aca="false">G10+G9*C395</f>
        <v>0.000145284417995103</v>
      </c>
      <c r="I395" s="8" t="n">
        <f aca="false">D395-H395</f>
        <v>-4.52844179950928E-005</v>
      </c>
      <c r="J395" s="8" t="n">
        <f aca="false">C395+D395/(G12*G6)</f>
        <v>0.0551592808167681</v>
      </c>
      <c r="K395" s="4" t="n">
        <f aca="false">(A395-$A$2)/365</f>
        <v>1.63835616438356</v>
      </c>
      <c r="L395" s="8" t="n">
        <f aca="false">IFERROR(AVERAGE(J336:J395),"")</f>
        <v>0.0507220262582828</v>
      </c>
    </row>
    <row r="396" customFormat="false" ht="15" hidden="false" customHeight="false" outlineLevel="0" collapsed="false">
      <c r="A396" s="3" t="n">
        <v>46150</v>
      </c>
      <c r="B396" s="4" t="n">
        <f aca="false">0.0523</f>
        <v>0.0523</v>
      </c>
      <c r="C396" s="4" t="n">
        <f aca="false">B395</f>
        <v>0.0523</v>
      </c>
      <c r="D396" s="4" t="n">
        <f aca="false">B396-C396</f>
        <v>0</v>
      </c>
      <c r="H396" s="8" t="n">
        <f aca="false">G10+G9*C396</f>
        <v>0.000141905218581739</v>
      </c>
      <c r="I396" s="8" t="n">
        <f aca="false">D396-H396</f>
        <v>-0.000141905218581739</v>
      </c>
      <c r="J396" s="8" t="n">
        <f aca="false">C396+D396/(G12*G6)</f>
        <v>0.0523</v>
      </c>
      <c r="K396" s="4" t="n">
        <f aca="false">(A396-$A$2)/365</f>
        <v>1.64109589041096</v>
      </c>
      <c r="L396" s="8" t="n">
        <f aca="false">IFERROR(AVERAGE(J337:J396),"")</f>
        <v>0.051905059931936</v>
      </c>
    </row>
    <row r="397" customFormat="false" ht="15" hidden="false" customHeight="false" outlineLevel="0" collapsed="false">
      <c r="A397" s="3" t="n">
        <v>46153</v>
      </c>
      <c r="B397" s="4" t="n">
        <f aca="false">0.0538</f>
        <v>0.0538</v>
      </c>
      <c r="C397" s="4" t="n">
        <f aca="false">B396</f>
        <v>0.0523</v>
      </c>
      <c r="D397" s="4" t="n">
        <f aca="false">B397-C397</f>
        <v>0.00149999999999999</v>
      </c>
      <c r="H397" s="8" t="n">
        <f aca="false">G10+G9*C397</f>
        <v>0.000141905218581739</v>
      </c>
      <c r="I397" s="8" t="n">
        <f aca="false">D397-H397</f>
        <v>0.00135809478141826</v>
      </c>
      <c r="J397" s="8" t="n">
        <f aca="false">C397+D397/(G12*G6)</f>
        <v>0.0966892122515167</v>
      </c>
      <c r="K397" s="4" t="n">
        <f aca="false">(A397-$A$2)/365</f>
        <v>1.64931506849315</v>
      </c>
      <c r="L397" s="8" t="n">
        <f aca="false">IFERROR(AVERAGE(J338:J397),"")</f>
        <v>0.0533763670069866</v>
      </c>
    </row>
    <row r="398" customFormat="false" ht="15" hidden="false" customHeight="false" outlineLevel="0" collapsed="false">
      <c r="A398" s="3" t="n">
        <v>46154</v>
      </c>
      <c r="B398" s="4" t="n">
        <f aca="false">0.0532</f>
        <v>0.0532</v>
      </c>
      <c r="C398" s="4" t="n">
        <f aca="false">B397</f>
        <v>0.0538</v>
      </c>
      <c r="D398" s="4" t="n">
        <f aca="false">B398-C398</f>
        <v>-0.000599999999999996</v>
      </c>
      <c r="H398" s="8" t="n">
        <f aca="false">G10+G9*C398</f>
        <v>9.12172273812842E-005</v>
      </c>
      <c r="I398" s="8" t="n">
        <f aca="false">D398-H398</f>
        <v>-0.000691217227381281</v>
      </c>
      <c r="J398" s="8" t="n">
        <f aca="false">C398+D398/(G12*G6)</f>
        <v>0.0360443150993934</v>
      </c>
      <c r="K398" s="4" t="n">
        <f aca="false">(A398-$A$2)/365</f>
        <v>1.65205479452055</v>
      </c>
      <c r="L398" s="8" t="n">
        <f aca="false">IFERROR(AVERAGE(J339:J398),"")</f>
        <v>0.0535659977144916</v>
      </c>
    </row>
    <row r="399" customFormat="false" ht="15" hidden="false" customHeight="false" outlineLevel="0" collapsed="false">
      <c r="A399" s="3" t="n">
        <v>46155</v>
      </c>
      <c r="B399" s="4" t="n">
        <f aca="false">0.0531</f>
        <v>0.0531</v>
      </c>
      <c r="C399" s="4" t="n">
        <f aca="false">B398</f>
        <v>0.0532</v>
      </c>
      <c r="D399" s="4" t="n">
        <f aca="false">B399-C399</f>
        <v>-0.00010000000000001</v>
      </c>
      <c r="H399" s="8" t="n">
        <f aca="false">G10+G9*C399</f>
        <v>0.000111492423861466</v>
      </c>
      <c r="I399" s="8" t="n">
        <f aca="false">D399-H399</f>
        <v>-0.000211492423861476</v>
      </c>
      <c r="J399" s="8" t="n">
        <f aca="false">C399+D399/(G12*G6)</f>
        <v>0.0502407191832319</v>
      </c>
      <c r="K399" s="4" t="n">
        <f aca="false">(A399-$A$2)/365</f>
        <v>1.65479452054795</v>
      </c>
      <c r="L399" s="8" t="n">
        <f aca="false">IFERROR(AVERAGE(J340:J399),"")</f>
        <v>0.0533167362994815</v>
      </c>
    </row>
    <row r="400" customFormat="false" ht="15" hidden="false" customHeight="false" outlineLevel="0" collapsed="false">
      <c r="A400" s="3" t="n">
        <v>46156</v>
      </c>
      <c r="B400" s="4" t="n">
        <f aca="false">0.0527</f>
        <v>0.0527</v>
      </c>
      <c r="C400" s="4" t="n">
        <f aca="false">B399</f>
        <v>0.0531</v>
      </c>
      <c r="D400" s="4" t="n">
        <f aca="false">B400-C400</f>
        <v>-0.000399999999999998</v>
      </c>
      <c r="H400" s="8" t="n">
        <f aca="false">G10+G9*C400</f>
        <v>0.00011487162327483</v>
      </c>
      <c r="I400" s="8" t="n">
        <f aca="false">D400-H400</f>
        <v>-0.000514871623274827</v>
      </c>
      <c r="J400" s="8" t="n">
        <f aca="false">C400+D400/(G12*G6)</f>
        <v>0.0412628767329289</v>
      </c>
      <c r="K400" s="4" t="n">
        <f aca="false">(A400-$A$2)/365</f>
        <v>1.65753424657534</v>
      </c>
      <c r="L400" s="8" t="n">
        <f aca="false">IFERROR(AVERAGE(J341:J400),"")</f>
        <v>0.0531561175783637</v>
      </c>
    </row>
    <row r="401" customFormat="false" ht="15" hidden="false" customHeight="false" outlineLevel="0" collapsed="false">
      <c r="A401" s="3" t="n">
        <v>46157</v>
      </c>
      <c r="B401" s="4" t="n">
        <f aca="false">0.0527</f>
        <v>0.0527</v>
      </c>
      <c r="C401" s="4" t="n">
        <f aca="false">B400</f>
        <v>0.0527</v>
      </c>
      <c r="D401" s="4" t="n">
        <f aca="false">B401-C401</f>
        <v>0</v>
      </c>
      <c r="H401" s="8" t="n">
        <f aca="false">G10+G9*C401</f>
        <v>0.000128388420928284</v>
      </c>
      <c r="I401" s="8" t="n">
        <f aca="false">D401-H401</f>
        <v>-0.000128388420928284</v>
      </c>
      <c r="J401" s="8" t="n">
        <f aca="false">C401+D401/(G12*G6)</f>
        <v>0.0527</v>
      </c>
      <c r="K401" s="4" t="n">
        <f aca="false">(A401-$A$2)/365</f>
        <v>1.66027397260274</v>
      </c>
      <c r="L401" s="8" t="n">
        <f aca="false">IFERROR(AVERAGE(J342:J401),"")</f>
        <v>0.0531861175783637</v>
      </c>
    </row>
    <row r="402" customFormat="false" ht="15" hidden="false" customHeight="false" outlineLevel="0" collapsed="false">
      <c r="A402" s="3" t="n">
        <v>46160</v>
      </c>
      <c r="B402" s="4" t="n">
        <f aca="false">0.0523</f>
        <v>0.0523</v>
      </c>
      <c r="C402" s="4" t="n">
        <f aca="false">B401</f>
        <v>0.0527</v>
      </c>
      <c r="D402" s="4" t="n">
        <f aca="false">B402-C402</f>
        <v>-0.000399999999999991</v>
      </c>
      <c r="H402" s="8" t="n">
        <f aca="false">G10+G9*C402</f>
        <v>0.000128388420928284</v>
      </c>
      <c r="I402" s="8" t="n">
        <f aca="false">D402-H402</f>
        <v>-0.000528388420928275</v>
      </c>
      <c r="J402" s="8" t="n">
        <f aca="false">C402+D402/(G12*G6)</f>
        <v>0.0408628767329291</v>
      </c>
      <c r="K402" s="4" t="n">
        <f aca="false">(A402-$A$2)/365</f>
        <v>1.66849315068493</v>
      </c>
      <c r="L402" s="8" t="n">
        <f aca="false">IFERROR(AVERAGE(J343:J402),"")</f>
        <v>0.0530188321905792</v>
      </c>
    </row>
    <row r="403" customFormat="false" ht="15" hidden="false" customHeight="false" outlineLevel="0" collapsed="false">
      <c r="A403" s="3" t="n">
        <v>46161</v>
      </c>
      <c r="B403" s="4" t="n">
        <f aca="false">0.0527</f>
        <v>0.0527</v>
      </c>
      <c r="C403" s="4" t="n">
        <f aca="false">B402</f>
        <v>0.0523</v>
      </c>
      <c r="D403" s="4" t="n">
        <f aca="false">B403-C403</f>
        <v>0.000399999999999991</v>
      </c>
      <c r="H403" s="8" t="n">
        <f aca="false">G10+G9*C403</f>
        <v>0.000141905218581739</v>
      </c>
      <c r="I403" s="8" t="n">
        <f aca="false">D403-H403</f>
        <v>0.000258094781418252</v>
      </c>
      <c r="J403" s="8" t="n">
        <f aca="false">C403+D403/(G12*G6)</f>
        <v>0.0641371232670709</v>
      </c>
      <c r="K403" s="4" t="n">
        <f aca="false">(A403-$A$2)/365</f>
        <v>1.67123287671233</v>
      </c>
      <c r="L403" s="8" t="n">
        <f aca="false">IFERROR(AVERAGE(J344:J403),"")</f>
        <v>0.0532887722586431</v>
      </c>
    </row>
    <row r="404" customFormat="false" ht="15" hidden="false" customHeight="false" outlineLevel="0" collapsed="false">
      <c r="A404" s="3" t="n">
        <v>46162</v>
      </c>
      <c r="B404" s="4" t="n">
        <f aca="false">0.0528</f>
        <v>0.0528</v>
      </c>
      <c r="C404" s="4" t="n">
        <f aca="false">B403</f>
        <v>0.0527</v>
      </c>
      <c r="D404" s="4" t="n">
        <f aca="false">B404-C404</f>
        <v>0.000100000000000003</v>
      </c>
      <c r="H404" s="8" t="n">
        <f aca="false">G10+G9*C404</f>
        <v>0.000128388420928284</v>
      </c>
      <c r="I404" s="8" t="n">
        <f aca="false">D404-H404</f>
        <v>-2.83884209282814E-005</v>
      </c>
      <c r="J404" s="8" t="n">
        <f aca="false">C404+D404/(G12*G6)</f>
        <v>0.0556592808167679</v>
      </c>
      <c r="K404" s="4" t="n">
        <f aca="false">(A404-$A$2)/365</f>
        <v>1.67397260273973</v>
      </c>
      <c r="L404" s="8" t="n">
        <f aca="false">IFERROR(AVERAGE(J345:J404),"")</f>
        <v>0.0533204389253098</v>
      </c>
    </row>
    <row r="405" customFormat="false" ht="15" hidden="false" customHeight="false" outlineLevel="0" collapsed="false">
      <c r="A405" s="3" t="n">
        <v>46163</v>
      </c>
      <c r="B405" s="4" t="n">
        <f aca="false">0.0533</f>
        <v>0.0533</v>
      </c>
      <c r="C405" s="4" t="n">
        <f aca="false">B404</f>
        <v>0.0528</v>
      </c>
      <c r="D405" s="4" t="n">
        <f aca="false">B405-C405</f>
        <v>0.0005</v>
      </c>
      <c r="H405" s="8" t="n">
        <f aca="false">G10+G9*C405</f>
        <v>0.00012500922151492</v>
      </c>
      <c r="I405" s="8" t="n">
        <f aca="false">D405-H405</f>
        <v>0.00037499077848508</v>
      </c>
      <c r="J405" s="8" t="n">
        <f aca="false">C405+D405/(G12*G6)</f>
        <v>0.067596404083839</v>
      </c>
      <c r="K405" s="4" t="n">
        <f aca="false">(A405-$A$2)/365</f>
        <v>1.67671232876712</v>
      </c>
      <c r="L405" s="8" t="n">
        <f aca="false">IFERROR(AVERAGE(J346:J405),"")</f>
        <v>0.0536480336736533</v>
      </c>
    </row>
    <row r="406" customFormat="false" ht="15" hidden="false" customHeight="false" outlineLevel="0" collapsed="false">
      <c r="A406" s="3" t="n">
        <v>46164</v>
      </c>
      <c r="B406" s="4" t="n">
        <f aca="false">0.0543</f>
        <v>0.0543</v>
      </c>
      <c r="C406" s="4" t="n">
        <f aca="false">B405</f>
        <v>0.0533</v>
      </c>
      <c r="D406" s="4" t="n">
        <f aca="false">B406-C406</f>
        <v>0.000999999999999994</v>
      </c>
      <c r="H406" s="8" t="n">
        <f aca="false">G10+G9*C406</f>
        <v>0.000108113224448102</v>
      </c>
      <c r="I406" s="8" t="n">
        <f aca="false">D406-H406</f>
        <v>0.000891886775551892</v>
      </c>
      <c r="J406" s="8" t="n">
        <f aca="false">C406+D406/(G12*G6)</f>
        <v>0.0828928081676778</v>
      </c>
      <c r="K406" s="4" t="n">
        <f aca="false">(A406-$A$2)/365</f>
        <v>1.67945205479452</v>
      </c>
      <c r="L406" s="8" t="n">
        <f aca="false">IFERROR(AVERAGE(J347:J406),"")</f>
        <v>0.0538869857281044</v>
      </c>
    </row>
    <row r="407" customFormat="false" ht="15" hidden="false" customHeight="false" outlineLevel="0" collapsed="false">
      <c r="A407" s="3" t="n">
        <v>46167</v>
      </c>
      <c r="B407" s="4" t="n">
        <f aca="false">0.0543</f>
        <v>0.0543</v>
      </c>
      <c r="C407" s="4" t="n">
        <f aca="false">B406</f>
        <v>0.0543</v>
      </c>
      <c r="D407" s="4" t="n">
        <f aca="false">B407-C407</f>
        <v>0</v>
      </c>
      <c r="H407" s="8" t="n">
        <f aca="false">G10+G9*C407</f>
        <v>7.43212303144661E-005</v>
      </c>
      <c r="I407" s="8" t="n">
        <f aca="false">D407-H407</f>
        <v>-7.43212303144661E-005</v>
      </c>
      <c r="J407" s="8" t="n">
        <f aca="false">C407+D407/(G12*G6)</f>
        <v>0.0543</v>
      </c>
      <c r="K407" s="4" t="n">
        <f aca="false">(A407-$A$2)/365</f>
        <v>1.68767123287671</v>
      </c>
      <c r="L407" s="8" t="n">
        <f aca="false">IFERROR(AVERAGE(J348:J407),"")</f>
        <v>0.0539353190614378</v>
      </c>
    </row>
    <row r="408" customFormat="false" ht="15" hidden="false" customHeight="false" outlineLevel="0" collapsed="false">
      <c r="A408" s="3" t="n">
        <v>46168</v>
      </c>
      <c r="B408" s="4" t="n">
        <f aca="false">0.0543</f>
        <v>0.0543</v>
      </c>
      <c r="C408" s="4" t="n">
        <f aca="false">B407</f>
        <v>0.0543</v>
      </c>
      <c r="D408" s="4" t="n">
        <f aca="false">B408-C408</f>
        <v>0</v>
      </c>
      <c r="H408" s="8" t="n">
        <f aca="false">G10+G9*C408</f>
        <v>7.43212303144661E-005</v>
      </c>
      <c r="I408" s="8" t="n">
        <f aca="false">D408-H408</f>
        <v>-7.43212303144661E-005</v>
      </c>
      <c r="J408" s="8" t="n">
        <f aca="false">C408+D408/(G12*G6)</f>
        <v>0.0543</v>
      </c>
      <c r="K408" s="4" t="n">
        <f aca="false">(A408-$A$2)/365</f>
        <v>1.69041095890411</v>
      </c>
      <c r="L408" s="8" t="n">
        <f aca="false">IFERROR(AVERAGE(J349:J408),"")</f>
        <v>0.0540329737417172</v>
      </c>
    </row>
    <row r="409" customFormat="false" ht="15" hidden="false" customHeight="false" outlineLevel="0" collapsed="false">
      <c r="A409" s="3" t="n">
        <v>46169</v>
      </c>
      <c r="B409" s="4" t="n">
        <f aca="false">0.0543</f>
        <v>0.0543</v>
      </c>
      <c r="C409" s="4" t="n">
        <f aca="false">B408</f>
        <v>0.0543</v>
      </c>
      <c r="D409" s="4" t="n">
        <f aca="false">B409-C409</f>
        <v>0</v>
      </c>
      <c r="H409" s="8" t="n">
        <f aca="false">G10+G9*C409</f>
        <v>7.43212303144661E-005</v>
      </c>
      <c r="I409" s="8" t="n">
        <f aca="false">D409-H409</f>
        <v>-7.43212303144661E-005</v>
      </c>
      <c r="J409" s="8" t="n">
        <f aca="false">C409+D409/(G12*G6)</f>
        <v>0.0543</v>
      </c>
      <c r="K409" s="4" t="n">
        <f aca="false">(A409-$A$2)/365</f>
        <v>1.69315068493151</v>
      </c>
      <c r="L409" s="8" t="n">
        <f aca="false">IFERROR(AVERAGE(J350:J409),"")</f>
        <v>0.0540336523947711</v>
      </c>
    </row>
    <row r="410" customFormat="false" ht="15" hidden="false" customHeight="false" outlineLevel="0" collapsed="false">
      <c r="A410" s="3" t="n">
        <v>46171</v>
      </c>
      <c r="B410" s="4" t="n">
        <f aca="false">0.0552</f>
        <v>0.0552</v>
      </c>
      <c r="C410" s="4" t="n">
        <f aca="false">B409</f>
        <v>0.0543</v>
      </c>
      <c r="D410" s="4" t="n">
        <f aca="false">B410-C410</f>
        <v>0.000900000000000005</v>
      </c>
      <c r="H410" s="8" t="n">
        <f aca="false">G10+G9*C410</f>
        <v>7.43212303144661E-005</v>
      </c>
      <c r="I410" s="8" t="n">
        <f aca="false">D410-H410</f>
        <v>0.000825678769685539</v>
      </c>
      <c r="J410" s="8" t="n">
        <f aca="false">C410+D410/(G12*G6)</f>
        <v>0.0809335273509103</v>
      </c>
      <c r="K410" s="4" t="n">
        <f aca="false">(A410-$A$2)/365</f>
        <v>1.6986301369863</v>
      </c>
      <c r="L410" s="8" t="n">
        <f aca="false">IFERROR(AVERAGE(J351:J410),"")</f>
        <v>0.0543779138097812</v>
      </c>
    </row>
    <row r="411" customFormat="false" ht="15" hidden="false" customHeight="false" outlineLevel="0" collapsed="false">
      <c r="A411" s="3" t="n">
        <v>46174</v>
      </c>
      <c r="B411" s="4" t="n">
        <f aca="false">0.0534</f>
        <v>0.0534</v>
      </c>
      <c r="C411" s="4" t="n">
        <f aca="false">B410</f>
        <v>0.0552</v>
      </c>
      <c r="D411" s="4" t="n">
        <f aca="false">B411-C411</f>
        <v>-0.0018</v>
      </c>
      <c r="H411" s="8" t="n">
        <f aca="false">G10+G9*C411</f>
        <v>4.39084355941932E-005</v>
      </c>
      <c r="I411" s="8" t="n">
        <f aca="false">D411-H411</f>
        <v>-0.0018439084355942</v>
      </c>
      <c r="J411" s="8" t="n">
        <f aca="false">C411+D411/(G12*G6)</f>
        <v>0.00193294529817965</v>
      </c>
      <c r="K411" s="4" t="n">
        <f aca="false">(A411-$A$2)/365</f>
        <v>1.70684931506849</v>
      </c>
      <c r="L411" s="8" t="n">
        <f aca="false">IFERROR(AVERAGE(J352:J411),"")</f>
        <v>0.0535484628980842</v>
      </c>
    </row>
    <row r="412" customFormat="false" ht="15" hidden="false" customHeight="false" outlineLevel="0" collapsed="false">
      <c r="A412" s="3" t="n">
        <v>46175</v>
      </c>
      <c r="B412" s="4" t="n">
        <f aca="false">0.0534</f>
        <v>0.0534</v>
      </c>
      <c r="C412" s="4" t="n">
        <f aca="false">B411</f>
        <v>0.0534</v>
      </c>
      <c r="D412" s="4" t="n">
        <f aca="false">B412-C412</f>
        <v>0</v>
      </c>
      <c r="H412" s="8" t="n">
        <f aca="false">G10+G9*C412</f>
        <v>0.000104734025034739</v>
      </c>
      <c r="I412" s="8" t="n">
        <f aca="false">D412-H412</f>
        <v>-0.000104734025034739</v>
      </c>
      <c r="J412" s="8" t="n">
        <f aca="false">C412+D412/(G12*G6)</f>
        <v>0.0534</v>
      </c>
      <c r="K412" s="4" t="n">
        <f aca="false">(A412-$A$2)/365</f>
        <v>1.70958904109589</v>
      </c>
      <c r="L412" s="8" t="n">
        <f aca="false">IFERROR(AVERAGE(J353:J412),"")</f>
        <v>0.0537247602722559</v>
      </c>
    </row>
    <row r="413" customFormat="false" ht="15" hidden="false" customHeight="false" outlineLevel="0" collapsed="false">
      <c r="A413" s="3" t="n">
        <v>46176</v>
      </c>
      <c r="B413" s="4" t="n">
        <f aca="false">0.0533</f>
        <v>0.0533</v>
      </c>
      <c r="C413" s="4" t="n">
        <f aca="false">B412</f>
        <v>0.0534</v>
      </c>
      <c r="D413" s="4" t="n">
        <f aca="false">B413-C413</f>
        <v>-9.99999999999959E-005</v>
      </c>
      <c r="H413" s="8" t="n">
        <f aca="false">G10+G9*C413</f>
        <v>0.000104734025034739</v>
      </c>
      <c r="I413" s="8" t="n">
        <f aca="false">D413-H413</f>
        <v>-0.000204734025034735</v>
      </c>
      <c r="J413" s="8" t="n">
        <f aca="false">C413+D413/(G12*G6)</f>
        <v>0.0504407191832323</v>
      </c>
      <c r="K413" s="4" t="n">
        <f aca="false">(A413-$A$2)/365</f>
        <v>1.71232876712329</v>
      </c>
      <c r="L413" s="8" t="n">
        <f aca="false">IFERROR(AVERAGE(J354:J413),"")</f>
        <v>0.0537580936055893</v>
      </c>
    </row>
    <row r="414" customFormat="false" ht="15" hidden="false" customHeight="false" outlineLevel="0" collapsed="false">
      <c r="A414" s="3" t="n">
        <v>46177</v>
      </c>
      <c r="B414" s="4" t="n">
        <f aca="false">0.0533</f>
        <v>0.0533</v>
      </c>
      <c r="C414" s="4" t="n">
        <f aca="false">B413</f>
        <v>0.0533</v>
      </c>
      <c r="D414" s="4" t="n">
        <f aca="false">B414-C414</f>
        <v>0</v>
      </c>
      <c r="H414" s="8" t="n">
        <f aca="false">G10+G9*C414</f>
        <v>0.000108113224448102</v>
      </c>
      <c r="I414" s="8" t="n">
        <f aca="false">D414-H414</f>
        <v>-0.000108113224448102</v>
      </c>
      <c r="J414" s="8" t="n">
        <f aca="false">C414+D414/(G12*G6)</f>
        <v>0.0533</v>
      </c>
      <c r="K414" s="4" t="n">
        <f aca="false">(A414-$A$2)/365</f>
        <v>1.71506849315069</v>
      </c>
      <c r="L414" s="8" t="n">
        <f aca="false">IFERROR(AVERAGE(J355:J414),"")</f>
        <v>0.0535941415511381</v>
      </c>
    </row>
    <row r="415" customFormat="false" ht="15" hidden="false" customHeight="false" outlineLevel="0" collapsed="false">
      <c r="A415" s="3" t="n">
        <v>46178</v>
      </c>
      <c r="B415" s="4" t="n">
        <f aca="false">0.0536</f>
        <v>0.0536</v>
      </c>
      <c r="C415" s="4" t="n">
        <f aca="false">B414</f>
        <v>0.0533</v>
      </c>
      <c r="D415" s="4" t="n">
        <f aca="false">B415-C415</f>
        <v>0.000300000000000002</v>
      </c>
      <c r="H415" s="8" t="n">
        <f aca="false">G10+G9*C415</f>
        <v>0.000108113224448102</v>
      </c>
      <c r="I415" s="8" t="n">
        <f aca="false">D415-H415</f>
        <v>0.000191886775551899</v>
      </c>
      <c r="J415" s="8" t="n">
        <f aca="false">C415+D415/(G12*G6)</f>
        <v>0.0621778424503034</v>
      </c>
      <c r="K415" s="4" t="n">
        <f aca="false">(A415-$A$2)/365</f>
        <v>1.71780821917808</v>
      </c>
      <c r="L415" s="8" t="n">
        <f aca="false">IFERROR(AVERAGE(J356:J415),"")</f>
        <v>0.0539167362994815</v>
      </c>
    </row>
    <row r="416" customFormat="false" ht="15" hidden="false" customHeight="false" outlineLevel="0" collapsed="false">
      <c r="A416" s="3" t="n">
        <v>46181</v>
      </c>
      <c r="B416" s="4" t="n">
        <f aca="false">0.0538</f>
        <v>0.0538</v>
      </c>
      <c r="C416" s="4" t="n">
        <f aca="false">B415</f>
        <v>0.0536</v>
      </c>
      <c r="D416" s="4" t="n">
        <f aca="false">B416-C416</f>
        <v>0.000199999999999999</v>
      </c>
      <c r="H416" s="8" t="n">
        <f aca="false">G10+G9*C416</f>
        <v>9.79756262080114E-005</v>
      </c>
      <c r="I416" s="8" t="n">
        <f aca="false">D416-H416</f>
        <v>0.000102024373791987</v>
      </c>
      <c r="J416" s="8" t="n">
        <f aca="false">C416+D416/(G12*G6)</f>
        <v>0.0595185616335356</v>
      </c>
      <c r="K416" s="4" t="n">
        <f aca="false">(A416-$A$2)/365</f>
        <v>1.72602739726027</v>
      </c>
      <c r="L416" s="8" t="n">
        <f aca="false">IFERROR(AVERAGE(J357:J416),"")</f>
        <v>0.0539534029661482</v>
      </c>
    </row>
    <row r="417" customFormat="false" ht="15" hidden="false" customHeight="false" outlineLevel="0" collapsed="false">
      <c r="A417" s="3" t="n">
        <v>46182</v>
      </c>
      <c r="B417" s="4" t="n">
        <f aca="false">0.0533</f>
        <v>0.0533</v>
      </c>
      <c r="C417" s="4" t="n">
        <f aca="false">B416</f>
        <v>0.0538</v>
      </c>
      <c r="D417" s="4" t="n">
        <f aca="false">B417-C417</f>
        <v>-0.0005</v>
      </c>
      <c r="H417" s="8" t="n">
        <f aca="false">G10+G9*C417</f>
        <v>9.12172273812842E-005</v>
      </c>
      <c r="I417" s="8" t="n">
        <f aca="false">D417-H417</f>
        <v>-0.000591217227381285</v>
      </c>
      <c r="J417" s="8" t="n">
        <f aca="false">C417+D417/(G12*G6)</f>
        <v>0.039003595916161</v>
      </c>
      <c r="K417" s="4" t="n">
        <f aca="false">(A417-$A$2)/365</f>
        <v>1.72876712328767</v>
      </c>
      <c r="L417" s="8" t="n">
        <f aca="false">IFERROR(AVERAGE(J358:J417),"")</f>
        <v>0.0538914269389226</v>
      </c>
    </row>
    <row r="418" customFormat="false" ht="15" hidden="false" customHeight="false" outlineLevel="0" collapsed="false">
      <c r="A418" s="3" t="n">
        <v>46183</v>
      </c>
      <c r="B418" s="4" t="n">
        <f aca="false">0.0533</f>
        <v>0.0533</v>
      </c>
      <c r="C418" s="4" t="n">
        <f aca="false">B417</f>
        <v>0.0533</v>
      </c>
      <c r="D418" s="4" t="n">
        <f aca="false">B418-C418</f>
        <v>0</v>
      </c>
      <c r="H418" s="8" t="n">
        <f aca="false">G10+G9*C418</f>
        <v>0.000108113224448102</v>
      </c>
      <c r="I418" s="8" t="n">
        <f aca="false">D418-H418</f>
        <v>-0.000108113224448102</v>
      </c>
      <c r="J418" s="8" t="n">
        <f aca="false">C418+D418/(G12*G6)</f>
        <v>0.0533</v>
      </c>
      <c r="K418" s="4" t="n">
        <f aca="false">(A418-$A$2)/365</f>
        <v>1.73150684931507</v>
      </c>
      <c r="L418" s="8" t="n">
        <f aca="false">IFERROR(AVERAGE(J359:J418),"")</f>
        <v>0.0539247602722559</v>
      </c>
    </row>
    <row r="419" customFormat="false" ht="15" hidden="false" customHeight="false" outlineLevel="0" collapsed="false">
      <c r="A419" s="3" t="n">
        <v>46184</v>
      </c>
      <c r="B419" s="4" t="n">
        <f aca="false">0.0533</f>
        <v>0.0533</v>
      </c>
      <c r="C419" s="4" t="n">
        <f aca="false">B418</f>
        <v>0.0533</v>
      </c>
      <c r="D419" s="4" t="n">
        <f aca="false">B419-C419</f>
        <v>0</v>
      </c>
      <c r="H419" s="8" t="n">
        <f aca="false">G10+G9*C419</f>
        <v>0.000108113224448102</v>
      </c>
      <c r="I419" s="8" t="n">
        <f aca="false">D419-H419</f>
        <v>-0.000108113224448102</v>
      </c>
      <c r="J419" s="8" t="n">
        <f aca="false">C419+D419/(G12*G6)</f>
        <v>0.0533</v>
      </c>
      <c r="K419" s="4" t="n">
        <f aca="false">(A419-$A$2)/365</f>
        <v>1.73424657534247</v>
      </c>
      <c r="L419" s="8" t="n">
        <f aca="false">IFERROR(AVERAGE(J360:J419),"")</f>
        <v>0.0539580936055893</v>
      </c>
    </row>
    <row r="420" customFormat="false" ht="15" hidden="false" customHeight="false" outlineLevel="0" collapsed="false">
      <c r="A420" s="3" t="n">
        <v>46185</v>
      </c>
      <c r="B420" s="4" t="n">
        <f aca="false">0.0533</f>
        <v>0.0533</v>
      </c>
      <c r="C420" s="4" t="n">
        <f aca="false">B419</f>
        <v>0.0533</v>
      </c>
      <c r="D420" s="4" t="n">
        <f aca="false">B420-C420</f>
        <v>0</v>
      </c>
      <c r="H420" s="8" t="n">
        <f aca="false">G10+G9*C420</f>
        <v>0.000108113224448102</v>
      </c>
      <c r="I420" s="8" t="n">
        <f aca="false">D420-H420</f>
        <v>-0.000108113224448102</v>
      </c>
      <c r="J420" s="8" t="n">
        <f aca="false">C420+D420/(G12*G6)</f>
        <v>0.0533</v>
      </c>
      <c r="K420" s="4" t="n">
        <f aca="false">(A420-$A$2)/365</f>
        <v>1.73698630136986</v>
      </c>
      <c r="L420" s="8" t="n">
        <f aca="false">IFERROR(AVERAGE(J361:J420),"")</f>
        <v>0.0540407482858687</v>
      </c>
    </row>
    <row r="421" customFormat="false" ht="15" hidden="false" customHeight="false" outlineLevel="0" collapsed="false">
      <c r="A421" s="3" t="n">
        <v>46188</v>
      </c>
      <c r="B421" s="4" t="n">
        <f aca="false">0.0533</f>
        <v>0.0533</v>
      </c>
      <c r="C421" s="4" t="n">
        <f aca="false">B420</f>
        <v>0.0533</v>
      </c>
      <c r="D421" s="4" t="n">
        <f aca="false">B421-C421</f>
        <v>0</v>
      </c>
      <c r="H421" s="8" t="n">
        <f aca="false">G10+G9*C421</f>
        <v>0.000108113224448102</v>
      </c>
      <c r="I421" s="8" t="n">
        <f aca="false">D421-H421</f>
        <v>-0.000108113224448102</v>
      </c>
      <c r="J421" s="8" t="n">
        <f aca="false">C421+D421/(G12*G6)</f>
        <v>0.0533</v>
      </c>
      <c r="K421" s="4" t="n">
        <f aca="false">(A421-$A$2)/365</f>
        <v>1.74520547945205</v>
      </c>
      <c r="L421" s="8" t="n">
        <f aca="false">IFERROR(AVERAGE(J362:J421),"")</f>
        <v>0.0540264269389226</v>
      </c>
    </row>
    <row r="422" customFormat="false" ht="15" hidden="false" customHeight="false" outlineLevel="0" collapsed="false">
      <c r="A422" s="3" t="n">
        <v>46189</v>
      </c>
      <c r="B422" s="4" t="n">
        <f aca="false">0.0542</f>
        <v>0.0542</v>
      </c>
      <c r="C422" s="4" t="n">
        <f aca="false">B421</f>
        <v>0.0533</v>
      </c>
      <c r="D422" s="4" t="n">
        <f aca="false">B422-C422</f>
        <v>0.000899999999999998</v>
      </c>
      <c r="H422" s="8" t="n">
        <f aca="false">G10+G9*C422</f>
        <v>0.000108113224448102</v>
      </c>
      <c r="I422" s="8" t="n">
        <f aca="false">D422-H422</f>
        <v>0.000791886775551896</v>
      </c>
      <c r="J422" s="8" t="n">
        <f aca="false">C422+D422/(G12*G6)</f>
        <v>0.0799335273509101</v>
      </c>
      <c r="K422" s="4" t="n">
        <f aca="false">(A422-$A$2)/365</f>
        <v>1.74794520547945</v>
      </c>
      <c r="L422" s="8" t="n">
        <f aca="false">IFERROR(AVERAGE(J363:J422),"")</f>
        <v>0.0545529737417172</v>
      </c>
    </row>
    <row r="423" customFormat="false" ht="15" hidden="false" customHeight="false" outlineLevel="0" collapsed="false">
      <c r="A423" s="3" t="n">
        <v>46190</v>
      </c>
      <c r="B423" s="4" t="n">
        <f aca="false">0.054</f>
        <v>0.054</v>
      </c>
      <c r="C423" s="4" t="n">
        <f aca="false">B422</f>
        <v>0.0542</v>
      </c>
      <c r="D423" s="4" t="n">
        <f aca="false">B423-C423</f>
        <v>-0.000199999999999992</v>
      </c>
      <c r="H423" s="8" t="n">
        <f aca="false">G10+G9*C423</f>
        <v>7.77004297278297E-005</v>
      </c>
      <c r="I423" s="8" t="n">
        <f aca="false">D423-H423</f>
        <v>-0.000277700429727822</v>
      </c>
      <c r="J423" s="8" t="n">
        <f aca="false">C423+D423/(G12*G6)</f>
        <v>0.0482814383664647</v>
      </c>
      <c r="K423" s="4" t="n">
        <f aca="false">(A423-$A$2)/365</f>
        <v>1.75068493150685</v>
      </c>
      <c r="L423" s="8" t="n">
        <f aca="false">IFERROR(AVERAGE(J364:J423),"")</f>
        <v>0.0544550097008788</v>
      </c>
    </row>
    <row r="424" customFormat="false" ht="15" hidden="false" customHeight="false" outlineLevel="0" collapsed="false">
      <c r="A424" s="3" t="n">
        <v>46191</v>
      </c>
      <c r="B424" s="4" t="n">
        <f aca="false">0.0541</f>
        <v>0.0541</v>
      </c>
      <c r="C424" s="4" t="n">
        <f aca="false">B423</f>
        <v>0.054</v>
      </c>
      <c r="D424" s="4" t="n">
        <f aca="false">B424-C424</f>
        <v>9.99999999999959E-005</v>
      </c>
      <c r="H424" s="8" t="n">
        <f aca="false">G10+G9*C424</f>
        <v>8.44588285545567E-005</v>
      </c>
      <c r="I424" s="8" t="n">
        <f aca="false">D424-H424</f>
        <v>1.55411714454392E-005</v>
      </c>
      <c r="J424" s="8" t="n">
        <f aca="false">C424+D424/(G12*G6)</f>
        <v>0.0569592808167677</v>
      </c>
      <c r="K424" s="4" t="n">
        <f aca="false">(A424-$A$2)/365</f>
        <v>1.75342465753425</v>
      </c>
      <c r="L424" s="8" t="n">
        <f aca="false">IFERROR(AVERAGE(J365:J424),"")</f>
        <v>0.0533162973741717</v>
      </c>
    </row>
    <row r="425" customFormat="false" ht="15" hidden="false" customHeight="false" outlineLevel="0" collapsed="false">
      <c r="A425" s="3" t="n">
        <v>46192</v>
      </c>
      <c r="B425" s="4" t="n">
        <f aca="false">0.054</f>
        <v>0.054</v>
      </c>
      <c r="C425" s="4" t="n">
        <f aca="false">B424</f>
        <v>0.0541</v>
      </c>
      <c r="D425" s="4" t="n">
        <f aca="false">B425-C425</f>
        <v>-9.99999999999959E-005</v>
      </c>
      <c r="H425" s="8" t="n">
        <f aca="false">G10+G9*C425</f>
        <v>8.10796291411931E-005</v>
      </c>
      <c r="I425" s="8" t="n">
        <f aca="false">D425-H425</f>
        <v>-0.000181079629141189</v>
      </c>
      <c r="J425" s="8" t="n">
        <f aca="false">C425+D425/(G12*G6)</f>
        <v>0.0511407191832323</v>
      </c>
      <c r="K425" s="4" t="n">
        <f aca="false">(A425-$A$2)/365</f>
        <v>1.75616438356164</v>
      </c>
      <c r="L425" s="8" t="n">
        <f aca="false">IFERROR(AVERAGE(J366:J425),"")</f>
        <v>0.0535679041089024</v>
      </c>
    </row>
    <row r="426" customFormat="false" ht="15" hidden="false" customHeight="false" outlineLevel="0" collapsed="false">
      <c r="A426" s="3" t="n">
        <v>46195</v>
      </c>
      <c r="B426" s="4" t="n">
        <f aca="false">0.0538</f>
        <v>0.0538</v>
      </c>
      <c r="C426" s="4" t="n">
        <f aca="false">B425</f>
        <v>0.054</v>
      </c>
      <c r="D426" s="4" t="n">
        <f aca="false">B426-C426</f>
        <v>-0.000200000000000006</v>
      </c>
      <c r="H426" s="8" t="n">
        <f aca="false">G10+G9*C426</f>
        <v>8.44588285545567E-005</v>
      </c>
      <c r="I426" s="8" t="n">
        <f aca="false">D426-H426</f>
        <v>-0.000284458828554562</v>
      </c>
      <c r="J426" s="8" t="n">
        <f aca="false">C426+D426/(G12*G6)</f>
        <v>0.0480814383664643</v>
      </c>
      <c r="K426" s="4" t="n">
        <f aca="false">(A426-$A$2)/365</f>
        <v>1.76438356164384</v>
      </c>
      <c r="L426" s="8" t="n">
        <f aca="false">IFERROR(AVERAGE(J367:J426),"")</f>
        <v>0.0533839520544512</v>
      </c>
    </row>
    <row r="427" customFormat="false" ht="15" hidden="false" customHeight="false" outlineLevel="0" collapsed="false">
      <c r="A427" s="3" t="n">
        <v>46196</v>
      </c>
      <c r="B427" s="4" t="n">
        <f aca="false">0.0544</f>
        <v>0.0544</v>
      </c>
      <c r="C427" s="4" t="n">
        <f aca="false">B426</f>
        <v>0.0538</v>
      </c>
      <c r="D427" s="4" t="n">
        <f aca="false">B427-C427</f>
        <v>0.000600000000000003</v>
      </c>
      <c r="H427" s="8" t="n">
        <f aca="false">G10+G9*C427</f>
        <v>9.12172273812842E-005</v>
      </c>
      <c r="I427" s="8" t="n">
        <f aca="false">D427-H427</f>
        <v>0.000508782772618719</v>
      </c>
      <c r="J427" s="8" t="n">
        <f aca="false">C427+D427/(G12*G6)</f>
        <v>0.0715556849006069</v>
      </c>
      <c r="K427" s="4" t="n">
        <f aca="false">(A427-$A$2)/365</f>
        <v>1.76712328767123</v>
      </c>
      <c r="L427" s="8" t="n">
        <f aca="false">IFERROR(AVERAGE(J368:J427),"")</f>
        <v>0.0533906187211179</v>
      </c>
    </row>
    <row r="428" customFormat="false" ht="15" hidden="false" customHeight="false" outlineLevel="0" collapsed="false">
      <c r="A428" s="3" t="n">
        <v>46197</v>
      </c>
      <c r="B428" s="4" t="n">
        <f aca="false">0.0543</f>
        <v>0.0543</v>
      </c>
      <c r="C428" s="4" t="n">
        <f aca="false">B427</f>
        <v>0.0544</v>
      </c>
      <c r="D428" s="4" t="n">
        <f aca="false">B428-C428</f>
        <v>-0.00010000000000001</v>
      </c>
      <c r="H428" s="8" t="n">
        <f aca="false">G10+G9*C428</f>
        <v>7.0942030901102E-005</v>
      </c>
      <c r="I428" s="8" t="n">
        <f aca="false">D428-H428</f>
        <v>-0.000170942030901112</v>
      </c>
      <c r="J428" s="8" t="n">
        <f aca="false">C428+D428/(G12*G6)</f>
        <v>0.0514407191832319</v>
      </c>
      <c r="K428" s="4" t="n">
        <f aca="false">(A428-$A$2)/365</f>
        <v>1.76986301369863</v>
      </c>
      <c r="L428" s="8" t="n">
        <f aca="false">IFERROR(AVERAGE(J369:J428),"")</f>
        <v>0.0534466067347306</v>
      </c>
    </row>
    <row r="429" customFormat="false" ht="15" hidden="false" customHeight="false" outlineLevel="0" collapsed="false">
      <c r="A429" s="3" t="n">
        <v>46198</v>
      </c>
      <c r="B429" s="4" t="n">
        <f aca="false">0.0543</f>
        <v>0.0543</v>
      </c>
      <c r="C429" s="4" t="n">
        <f aca="false">B428</f>
        <v>0.0543</v>
      </c>
      <c r="D429" s="4" t="n">
        <f aca="false">B429-C429</f>
        <v>0</v>
      </c>
      <c r="H429" s="8" t="n">
        <f aca="false">G10+G9*C429</f>
        <v>7.43212303144661E-005</v>
      </c>
      <c r="I429" s="8" t="n">
        <f aca="false">D429-H429</f>
        <v>-7.43212303144661E-005</v>
      </c>
      <c r="J429" s="8" t="n">
        <f aca="false">C429+D429/(G12*G6)</f>
        <v>0.0543</v>
      </c>
      <c r="K429" s="4" t="n">
        <f aca="false">(A429-$A$2)/365</f>
        <v>1.77260273972603</v>
      </c>
      <c r="L429" s="8" t="n">
        <f aca="false">IFERROR(AVERAGE(J370:J429),"")</f>
        <v>0.0534056187211179</v>
      </c>
    </row>
    <row r="430" customFormat="false" ht="15" hidden="false" customHeight="false" outlineLevel="0" collapsed="false">
      <c r="A430" s="3" t="n">
        <v>46202</v>
      </c>
      <c r="B430" s="4" t="n">
        <f aca="false">0.0543</f>
        <v>0.0543</v>
      </c>
      <c r="C430" s="4" t="n">
        <f aca="false">B429</f>
        <v>0.0543</v>
      </c>
      <c r="D430" s="4" t="n">
        <f aca="false">B430-C430</f>
        <v>0</v>
      </c>
      <c r="H430" s="8" t="n">
        <f aca="false">G10+G9*C430</f>
        <v>7.43212303144661E-005</v>
      </c>
      <c r="I430" s="8" t="n">
        <f aca="false">D430-H430</f>
        <v>-7.43212303144661E-005</v>
      </c>
      <c r="J430" s="8" t="n">
        <f aca="false">C430+D430/(G12*G6)</f>
        <v>0.0543</v>
      </c>
      <c r="K430" s="4" t="n">
        <f aca="false">(A430-$A$2)/365</f>
        <v>1.78356164383562</v>
      </c>
      <c r="L430" s="8" t="n">
        <f aca="false">IFERROR(AVERAGE(J371:J430),"")</f>
        <v>0.0534122853877845</v>
      </c>
    </row>
    <row r="431" customFormat="false" ht="15" hidden="false" customHeight="false" outlineLevel="0" collapsed="false">
      <c r="A431" s="3" t="n">
        <v>46203</v>
      </c>
      <c r="B431" s="4" t="n">
        <f aca="false">0.055</f>
        <v>0.055</v>
      </c>
      <c r="C431" s="4" t="n">
        <f aca="false">B430</f>
        <v>0.0543</v>
      </c>
      <c r="D431" s="4" t="n">
        <f aca="false">B431-C431</f>
        <v>0.000700000000000006</v>
      </c>
      <c r="H431" s="8" t="n">
        <f aca="false">G10+G9*C431</f>
        <v>7.43212303144661E-005</v>
      </c>
      <c r="I431" s="8" t="n">
        <f aca="false">D431-H431</f>
        <v>0.00062567876968554</v>
      </c>
      <c r="J431" s="8" t="n">
        <f aca="false">C431+D431/(G12*G6)</f>
        <v>0.0750149657173747</v>
      </c>
      <c r="K431" s="4" t="n">
        <f aca="false">(A431-$A$2)/365</f>
        <v>1.78630136986301</v>
      </c>
      <c r="L431" s="8" t="n">
        <f aca="false">IFERROR(AVERAGE(J372:J431),"")</f>
        <v>0.0530243812788821</v>
      </c>
    </row>
    <row r="432" customFormat="false" ht="15" hidden="false" customHeight="false" outlineLevel="0" collapsed="false">
      <c r="A432" s="3" t="n">
        <v>46204</v>
      </c>
      <c r="B432" s="4" t="n">
        <f aca="false">0.0531</f>
        <v>0.0531</v>
      </c>
      <c r="C432" s="4" t="n">
        <f aca="false">B431</f>
        <v>0.055</v>
      </c>
      <c r="D432" s="4" t="n">
        <f aca="false">B432-C432</f>
        <v>-0.00190000000000001</v>
      </c>
      <c r="H432" s="8" t="n">
        <f aca="false">G10+G9*C432</f>
        <v>5.06668344209204E-005</v>
      </c>
      <c r="I432" s="8" t="n">
        <f aca="false">D432-H432</f>
        <v>-0.00195066683442093</v>
      </c>
      <c r="J432" s="8" t="n">
        <f aca="false">C432+D432/(G12*G6)</f>
        <v>-0.00122633551858822</v>
      </c>
      <c r="K432" s="4" t="n">
        <f aca="false">(A432-$A$2)/365</f>
        <v>1.78904109589041</v>
      </c>
      <c r="L432" s="8" t="n">
        <f aca="false">IFERROR(AVERAGE(J373:J432),"")</f>
        <v>0.0449783350599963</v>
      </c>
    </row>
    <row r="433" customFormat="false" ht="15" hidden="false" customHeight="false" outlineLevel="0" collapsed="false">
      <c r="A433" s="3" t="n">
        <v>46205</v>
      </c>
      <c r="B433" s="4" t="n">
        <f aca="false">0.0533</f>
        <v>0.0533</v>
      </c>
      <c r="C433" s="4" t="n">
        <f aca="false">B432</f>
        <v>0.0531</v>
      </c>
      <c r="D433" s="4" t="n">
        <f aca="false">B433-C433</f>
        <v>0.000200000000000006</v>
      </c>
      <c r="H433" s="8" t="n">
        <f aca="false">G10+G9*C433</f>
        <v>0.00011487162327483</v>
      </c>
      <c r="I433" s="8" t="n">
        <f aca="false">D433-H433</f>
        <v>8.51283767251759E-005</v>
      </c>
      <c r="J433" s="8" t="n">
        <f aca="false">C433+D433/(G12*G6)</f>
        <v>0.0590185616335358</v>
      </c>
      <c r="K433" s="4" t="n">
        <f aca="false">(A433-$A$2)/365</f>
        <v>1.79178082191781</v>
      </c>
      <c r="L433" s="8" t="n">
        <f aca="false">IFERROR(AVERAGE(J374:J433),"")</f>
        <v>0.0533805587891818</v>
      </c>
    </row>
    <row r="434" customFormat="false" ht="15" hidden="false" customHeight="false" outlineLevel="0" collapsed="false">
      <c r="A434" s="3" t="n">
        <v>46206</v>
      </c>
      <c r="B434" s="4" t="n">
        <f aca="false">0.0533</f>
        <v>0.0533</v>
      </c>
      <c r="C434" s="4" t="n">
        <f aca="false">B433</f>
        <v>0.0533</v>
      </c>
      <c r="D434" s="4" t="n">
        <f aca="false">B434-C434</f>
        <v>0</v>
      </c>
      <c r="H434" s="8" t="n">
        <f aca="false">G10+G9*C434</f>
        <v>0.000108113224448102</v>
      </c>
      <c r="I434" s="8" t="n">
        <f aca="false">D434-H434</f>
        <v>-0.000108113224448102</v>
      </c>
      <c r="J434" s="8" t="n">
        <f aca="false">C434+D434/(G12*G6)</f>
        <v>0.0533</v>
      </c>
      <c r="K434" s="4" t="n">
        <f aca="false">(A434-$A$2)/365</f>
        <v>1.79452054794521</v>
      </c>
      <c r="L434" s="8" t="n">
        <f aca="false">IFERROR(AVERAGE(J375:J434),"")</f>
        <v>0.0539380936055893</v>
      </c>
    </row>
    <row r="435" customFormat="false" ht="15" hidden="false" customHeight="false" outlineLevel="0" collapsed="false">
      <c r="A435" s="3" t="n">
        <v>46209</v>
      </c>
      <c r="B435" s="4" t="n">
        <f aca="false">0.0529</f>
        <v>0.0529</v>
      </c>
      <c r="C435" s="4" t="n">
        <f aca="false">B434</f>
        <v>0.0533</v>
      </c>
      <c r="D435" s="4" t="n">
        <f aca="false">B435-C435</f>
        <v>-0.000399999999999998</v>
      </c>
      <c r="H435" s="8" t="n">
        <f aca="false">G10+G9*C435</f>
        <v>0.000108113224448102</v>
      </c>
      <c r="I435" s="8" t="n">
        <f aca="false">D435-H435</f>
        <v>-0.0005081132244481</v>
      </c>
      <c r="J435" s="8" t="n">
        <f aca="false">C435+D435/(G12*G6)</f>
        <v>0.0414628767329289</v>
      </c>
      <c r="K435" s="4" t="n">
        <f aca="false">(A435-$A$2)/365</f>
        <v>1.8027397260274</v>
      </c>
      <c r="L435" s="8" t="n">
        <f aca="false">IFERROR(AVERAGE(J376:J435),"")</f>
        <v>0.0537741415511381</v>
      </c>
    </row>
    <row r="436" customFormat="false" ht="15" hidden="false" customHeight="false" outlineLevel="0" collapsed="false">
      <c r="A436" s="3" t="n">
        <v>46210</v>
      </c>
      <c r="B436" s="4" t="n">
        <f aca="false">0.0529</f>
        <v>0.0529</v>
      </c>
      <c r="C436" s="4" t="n">
        <f aca="false">B435</f>
        <v>0.0529</v>
      </c>
      <c r="D436" s="4" t="n">
        <f aca="false">B436-C436</f>
        <v>0</v>
      </c>
      <c r="H436" s="8" t="n">
        <f aca="false">G10+G9*C436</f>
        <v>0.000121630022101557</v>
      </c>
      <c r="I436" s="8" t="n">
        <f aca="false">D436-H436</f>
        <v>-0.000121630022101557</v>
      </c>
      <c r="J436" s="8" t="n">
        <f aca="false">C436+D436/(G12*G6)</f>
        <v>0.0529</v>
      </c>
      <c r="K436" s="4" t="n">
        <f aca="false">(A436-$A$2)/365</f>
        <v>1.80547945205479</v>
      </c>
      <c r="L436" s="8" t="n">
        <f aca="false">IFERROR(AVERAGE(J377:J436),"")</f>
        <v>0.0538008082178047</v>
      </c>
    </row>
    <row r="437" customFormat="false" ht="15" hidden="false" customHeight="false" outlineLevel="0" collapsed="false">
      <c r="A437" s="3" t="n">
        <v>46211</v>
      </c>
      <c r="B437" s="4" t="n">
        <f aca="false">0.053</f>
        <v>0.053</v>
      </c>
      <c r="C437" s="4" t="n">
        <f aca="false">B436</f>
        <v>0.0529</v>
      </c>
      <c r="D437" s="4" t="n">
        <f aca="false">B437-C437</f>
        <v>9.99999999999959E-005</v>
      </c>
      <c r="H437" s="8" t="n">
        <f aca="false">G10+G9*C437</f>
        <v>0.000121630022101557</v>
      </c>
      <c r="I437" s="8" t="n">
        <f aca="false">D437-H437</f>
        <v>-2.16300221015609E-005</v>
      </c>
      <c r="J437" s="8" t="n">
        <f aca="false">C437+D437/(G12*G6)</f>
        <v>0.0558592808167677</v>
      </c>
      <c r="K437" s="4" t="n">
        <f aca="false">(A437-$A$2)/365</f>
        <v>1.80821917808219</v>
      </c>
      <c r="L437" s="8" t="n">
        <f aca="false">IFERROR(AVERAGE(J378:J437),"")</f>
        <v>0.0538767962314175</v>
      </c>
    </row>
    <row r="438" customFormat="false" ht="15" hidden="false" customHeight="false" outlineLevel="0" collapsed="false">
      <c r="A438" s="3" t="n">
        <v>46212</v>
      </c>
      <c r="B438" s="4" t="n">
        <f aca="false">0.054</f>
        <v>0.054</v>
      </c>
      <c r="C438" s="4" t="n">
        <f aca="false">B437</f>
        <v>0.053</v>
      </c>
      <c r="D438" s="4" t="n">
        <f aca="false">B438-C438</f>
        <v>0.00100000000000001</v>
      </c>
      <c r="H438" s="8" t="n">
        <f aca="false">G10+G9*C438</f>
        <v>0.000118250822688193</v>
      </c>
      <c r="I438" s="8" t="n">
        <f aca="false">D438-H438</f>
        <v>0.000881749177311815</v>
      </c>
      <c r="J438" s="8" t="n">
        <f aca="false">C438+D438/(G12*G6)</f>
        <v>0.0825928081676782</v>
      </c>
      <c r="K438" s="4" t="n">
        <f aca="false">(A438-$A$2)/365</f>
        <v>1.81095890410959</v>
      </c>
      <c r="L438" s="8" t="n">
        <f aca="false">IFERROR(AVERAGE(J379:J438),"")</f>
        <v>0.0545956284219967</v>
      </c>
    </row>
    <row r="439" customFormat="false" ht="15" hidden="false" customHeight="false" outlineLevel="0" collapsed="false">
      <c r="A439" s="3" t="n">
        <v>46213</v>
      </c>
      <c r="B439" s="4" t="n">
        <f aca="false">0.0539</f>
        <v>0.0539</v>
      </c>
      <c r="C439" s="4" t="n">
        <f aca="false">B438</f>
        <v>0.054</v>
      </c>
      <c r="D439" s="4" t="n">
        <f aca="false">B439-C439</f>
        <v>-0.00010000000000001</v>
      </c>
      <c r="H439" s="8" t="n">
        <f aca="false">G10+G9*C439</f>
        <v>8.44588285545567E-005</v>
      </c>
      <c r="I439" s="8" t="n">
        <f aca="false">D439-H439</f>
        <v>-0.000184458828554567</v>
      </c>
      <c r="J439" s="8" t="n">
        <f aca="false">C439+D439/(G12*G6)</f>
        <v>0.0510407191832319</v>
      </c>
      <c r="K439" s="4" t="n">
        <f aca="false">(A439-$A$2)/365</f>
        <v>1.81369863013699</v>
      </c>
      <c r="L439" s="8" t="n">
        <f aca="false">IFERROR(AVERAGE(J380:J439),"")</f>
        <v>0.0545979737417172</v>
      </c>
    </row>
    <row r="440" customFormat="false" ht="15" hidden="false" customHeight="false" outlineLevel="0" collapsed="false">
      <c r="A440" s="3" t="n">
        <v>46216</v>
      </c>
      <c r="B440" s="4" t="n">
        <f aca="false">0.0534</f>
        <v>0.0534</v>
      </c>
      <c r="C440" s="4" t="n">
        <f aca="false">B439</f>
        <v>0.0539</v>
      </c>
      <c r="D440" s="4" t="n">
        <f aca="false">B440-C440</f>
        <v>-0.0005</v>
      </c>
      <c r="H440" s="8" t="n">
        <f aca="false">G10+G9*C440</f>
        <v>8.78380279679205E-005</v>
      </c>
      <c r="I440" s="8" t="n">
        <f aca="false">D440-H440</f>
        <v>-0.000587838027967921</v>
      </c>
      <c r="J440" s="8" t="n">
        <f aca="false">C440+D440/(G12*G6)</f>
        <v>0.039103595916161</v>
      </c>
      <c r="K440" s="4" t="n">
        <f aca="false">(A440-$A$2)/365</f>
        <v>1.82191780821918</v>
      </c>
      <c r="L440" s="8" t="n">
        <f aca="false">IFERROR(AVERAGE(J381:J440),"")</f>
        <v>0.0542534029661482</v>
      </c>
    </row>
    <row r="441" customFormat="false" ht="15" hidden="false" customHeight="false" outlineLevel="0" collapsed="false">
      <c r="A441" s="3" t="n">
        <v>46217</v>
      </c>
      <c r="B441" s="4" t="n">
        <f aca="false">0.0527</f>
        <v>0.0527</v>
      </c>
      <c r="C441" s="4" t="n">
        <f aca="false">B440</f>
        <v>0.0534</v>
      </c>
      <c r="D441" s="4" t="n">
        <f aca="false">B441-C441</f>
        <v>-0.000699999999999999</v>
      </c>
      <c r="H441" s="8" t="n">
        <f aca="false">G10+G9*C441</f>
        <v>0.000104734025034739</v>
      </c>
      <c r="I441" s="8" t="n">
        <f aca="false">D441-H441</f>
        <v>-0.000804734025034738</v>
      </c>
      <c r="J441" s="8" t="n">
        <f aca="false">C441+D441/(G12*G6)</f>
        <v>0.0326850342826255</v>
      </c>
      <c r="K441" s="4" t="n">
        <f aca="false">(A441-$A$2)/365</f>
        <v>1.82465753424658</v>
      </c>
      <c r="L441" s="8" t="n">
        <f aca="false">IFERROR(AVERAGE(J382:J441),"")</f>
        <v>0.0538954988572458</v>
      </c>
    </row>
    <row r="442" customFormat="false" ht="15" hidden="false" customHeight="false" outlineLevel="0" collapsed="false">
      <c r="A442" s="3" t="n">
        <v>46218</v>
      </c>
      <c r="B442" s="4" t="n">
        <f aca="false">0.0527</f>
        <v>0.0527</v>
      </c>
      <c r="C442" s="4" t="n">
        <f aca="false">B441</f>
        <v>0.0527</v>
      </c>
      <c r="D442" s="4" t="n">
        <f aca="false">B442-C442</f>
        <v>0</v>
      </c>
      <c r="H442" s="8" t="n">
        <f aca="false">G10+G9*C442</f>
        <v>0.000128388420928284</v>
      </c>
      <c r="I442" s="8" t="n">
        <f aca="false">D442-H442</f>
        <v>-0.000128388420928284</v>
      </c>
      <c r="J442" s="8" t="n">
        <f aca="false">C442+D442/(G12*G6)</f>
        <v>0.0527</v>
      </c>
      <c r="K442" s="4" t="n">
        <f aca="false">(A442-$A$2)/365</f>
        <v>1.82739726027397</v>
      </c>
      <c r="L442" s="8" t="n">
        <f aca="false">IFERROR(AVERAGE(J383:J442),"")</f>
        <v>0.0539188321905792</v>
      </c>
    </row>
    <row r="443" customFormat="false" ht="15" hidden="false" customHeight="false" outlineLevel="0" collapsed="false">
      <c r="A443" s="3" t="n">
        <v>46219</v>
      </c>
      <c r="B443" s="4" t="n">
        <f aca="false">0.0536</f>
        <v>0.0536</v>
      </c>
      <c r="C443" s="4" t="n">
        <f aca="false">B442</f>
        <v>0.0527</v>
      </c>
      <c r="D443" s="4" t="n">
        <f aca="false">B443-C443</f>
        <v>0.000900000000000005</v>
      </c>
      <c r="H443" s="8" t="n">
        <f aca="false">G10+G9*C443</f>
        <v>0.000128388420928284</v>
      </c>
      <c r="I443" s="8" t="n">
        <f aca="false">D443-H443</f>
        <v>0.000771611579071721</v>
      </c>
      <c r="J443" s="8" t="n">
        <f aca="false">C443+D443/(G12*G6)</f>
        <v>0.0793335273509103</v>
      </c>
      <c r="K443" s="4" t="n">
        <f aca="false">(A443-$A$2)/365</f>
        <v>1.83013698630137</v>
      </c>
      <c r="L443" s="8" t="n">
        <f aca="false">IFERROR(AVERAGE(J384:J443),"")</f>
        <v>0.0543860576464277</v>
      </c>
    </row>
    <row r="444" customFormat="false" ht="15" hidden="false" customHeight="false" outlineLevel="0" collapsed="false">
      <c r="A444" s="3" t="n">
        <v>46220</v>
      </c>
      <c r="B444" s="4" t="n">
        <f aca="false">0.0544</f>
        <v>0.0544</v>
      </c>
      <c r="C444" s="4" t="n">
        <f aca="false">B443</f>
        <v>0.0536</v>
      </c>
      <c r="D444" s="4" t="n">
        <f aca="false">B444-C444</f>
        <v>0.000800000000000002</v>
      </c>
      <c r="H444" s="8" t="n">
        <f aca="false">G10+G9*C444</f>
        <v>9.79756262080114E-005</v>
      </c>
      <c r="I444" s="8" t="n">
        <f aca="false">D444-H444</f>
        <v>0.000702024373791991</v>
      </c>
      <c r="J444" s="8" t="n">
        <f aca="false">C444+D444/(G12*G6)</f>
        <v>0.0772742465341424</v>
      </c>
      <c r="K444" s="4" t="n">
        <f aca="false">(A444-$A$2)/365</f>
        <v>1.83287671232877</v>
      </c>
      <c r="L444" s="8" t="n">
        <f aca="false">IFERROR(AVERAGE(J385:J444),"")</f>
        <v>0.0545723550205994</v>
      </c>
    </row>
    <row r="445" customFormat="false" ht="15" hidden="false" customHeight="false" outlineLevel="0" collapsed="false">
      <c r="A445" s="3" t="n">
        <v>46223</v>
      </c>
      <c r="B445" s="4" t="n">
        <f aca="false">0.0539</f>
        <v>0.0539</v>
      </c>
      <c r="C445" s="4" t="n">
        <f aca="false">B444</f>
        <v>0.0544</v>
      </c>
      <c r="D445" s="4" t="n">
        <f aca="false">B445-C445</f>
        <v>-0.000500000000000007</v>
      </c>
      <c r="H445" s="8" t="n">
        <f aca="false">G10+G9*C445</f>
        <v>7.0942030901102E-005</v>
      </c>
      <c r="I445" s="8" t="n">
        <f aca="false">D445-H445</f>
        <v>-0.000570942030901109</v>
      </c>
      <c r="J445" s="8" t="n">
        <f aca="false">C445+D445/(G12*G6)</f>
        <v>0.0396035959161608</v>
      </c>
      <c r="K445" s="4" t="n">
        <f aca="false">(A445-$A$2)/365</f>
        <v>1.84109589041096</v>
      </c>
      <c r="L445" s="8" t="n">
        <f aca="false">IFERROR(AVERAGE(J386:J445),"")</f>
        <v>0.0533826546802795</v>
      </c>
    </row>
    <row r="446" customFormat="false" ht="15" hidden="false" customHeight="false" outlineLevel="0" collapsed="false">
      <c r="A446" s="3" t="n">
        <v>46224</v>
      </c>
      <c r="B446" s="4" t="n">
        <f aca="false">0.0539</f>
        <v>0.0539</v>
      </c>
      <c r="C446" s="4" t="n">
        <f aca="false">B445</f>
        <v>0.0539</v>
      </c>
      <c r="D446" s="4" t="n">
        <f aca="false">B446-C446</f>
        <v>0</v>
      </c>
      <c r="H446" s="8" t="n">
        <f aca="false">G10+G9*C446</f>
        <v>8.78380279679205E-005</v>
      </c>
      <c r="I446" s="8" t="n">
        <f aca="false">D446-H446</f>
        <v>-8.78380279679205E-005</v>
      </c>
      <c r="J446" s="8" t="n">
        <f aca="false">C446+D446/(G12*G6)</f>
        <v>0.0539</v>
      </c>
      <c r="K446" s="4" t="n">
        <f aca="false">(A446-$A$2)/365</f>
        <v>1.84383561643836</v>
      </c>
      <c r="L446" s="8" t="n">
        <f aca="false">IFERROR(AVERAGE(J387:J446),"")</f>
        <v>0.0538282134694613</v>
      </c>
    </row>
    <row r="447" customFormat="false" ht="15" hidden="false" customHeight="false" outlineLevel="0" collapsed="false">
      <c r="A447" s="3" t="n">
        <v>46225</v>
      </c>
      <c r="B447" s="4" t="n">
        <f aca="false">0.0544</f>
        <v>0.0544</v>
      </c>
      <c r="C447" s="4" t="n">
        <f aca="false">B446</f>
        <v>0.0539</v>
      </c>
      <c r="D447" s="4" t="n">
        <f aca="false">B447-C447</f>
        <v>0.000500000000000007</v>
      </c>
      <c r="H447" s="8" t="n">
        <f aca="false">G10+G9*C447</f>
        <v>8.78380279679205E-005</v>
      </c>
      <c r="I447" s="8" t="n">
        <f aca="false">D447-H447</f>
        <v>0.000412161972032087</v>
      </c>
      <c r="J447" s="8" t="n">
        <f aca="false">C447+D447/(G12*G6)</f>
        <v>0.0686964040838392</v>
      </c>
      <c r="K447" s="4" t="n">
        <f aca="false">(A447-$A$2)/365</f>
        <v>1.84657534246575</v>
      </c>
      <c r="L447" s="8" t="n">
        <f aca="false">IFERROR(AVERAGE(J388:J447),"")</f>
        <v>0.0548313070750506</v>
      </c>
    </row>
    <row r="448" customFormat="false" ht="15" hidden="false" customHeight="false" outlineLevel="0" collapsed="false">
      <c r="A448" s="3" t="n">
        <v>46226</v>
      </c>
      <c r="B448" s="4" t="n">
        <f aca="false">0.0534</f>
        <v>0.0534</v>
      </c>
      <c r="C448" s="4" t="n">
        <f aca="false">B447</f>
        <v>0.0544</v>
      </c>
      <c r="D448" s="4" t="n">
        <f aca="false">B448-C448</f>
        <v>-0.00100000000000001</v>
      </c>
      <c r="H448" s="8" t="n">
        <f aca="false">G10+G9*C448</f>
        <v>7.0942030901102E-005</v>
      </c>
      <c r="I448" s="8" t="n">
        <f aca="false">D448-H448</f>
        <v>-0.00107094203090111</v>
      </c>
      <c r="J448" s="8" t="n">
        <f aca="false">C448+D448/(G12*G6)</f>
        <v>0.0248071918323219</v>
      </c>
      <c r="K448" s="4" t="n">
        <f aca="false">(A448-$A$2)/365</f>
        <v>1.84931506849315</v>
      </c>
      <c r="L448" s="8" t="n">
        <f aca="false">IFERROR(AVERAGE(J389:J448),"")</f>
        <v>0.0543880936055893</v>
      </c>
    </row>
    <row r="449" customFormat="false" ht="15" hidden="false" customHeight="false" outlineLevel="0" collapsed="false">
      <c r="A449" s="3" t="n">
        <v>46227</v>
      </c>
      <c r="B449" s="4" t="n">
        <f aca="false">0.0514</f>
        <v>0.0514</v>
      </c>
      <c r="C449" s="4" t="n">
        <f aca="false">B448</f>
        <v>0.0534</v>
      </c>
      <c r="D449" s="4" t="n">
        <f aca="false">B449-C449</f>
        <v>-0.002</v>
      </c>
      <c r="H449" s="8" t="n">
        <f aca="false">G10+G9*C449</f>
        <v>0.000104734025034739</v>
      </c>
      <c r="I449" s="8" t="n">
        <f aca="false">D449-H449</f>
        <v>-0.00210473402503474</v>
      </c>
      <c r="J449" s="8" t="n">
        <f aca="false">C449+D449/(G12*G6)</f>
        <v>-0.0057856163353559</v>
      </c>
      <c r="K449" s="4" t="n">
        <f aca="false">(A449-$A$2)/365</f>
        <v>1.85205479452055</v>
      </c>
      <c r="L449" s="8" t="n">
        <f aca="false">IFERROR(AVERAGE(J390:J449),"")</f>
        <v>0.0531883932652694</v>
      </c>
    </row>
    <row r="450" customFormat="false" ht="15" hidden="false" customHeight="false" outlineLevel="0" collapsed="false">
      <c r="A450" s="3" t="n">
        <v>46230</v>
      </c>
      <c r="B450" s="4" t="n">
        <f aca="false">0.0525</f>
        <v>0.0525</v>
      </c>
      <c r="C450" s="4" t="n">
        <f aca="false">B449</f>
        <v>0.0514</v>
      </c>
      <c r="D450" s="4" t="n">
        <f aca="false">B450-C450</f>
        <v>0.0011</v>
      </c>
      <c r="H450" s="8" t="n">
        <f aca="false">G10+G9*C450</f>
        <v>0.000172318013302012</v>
      </c>
      <c r="I450" s="8" t="n">
        <f aca="false">D450-H450</f>
        <v>0.000927681986697992</v>
      </c>
      <c r="J450" s="8" t="n">
        <f aca="false">C450+D450/(G12*G6)</f>
        <v>0.0839520889844458</v>
      </c>
      <c r="K450" s="4" t="n">
        <f aca="false">(A450-$A$2)/365</f>
        <v>1.86027397260274</v>
      </c>
      <c r="L450" s="8" t="n">
        <f aca="false">IFERROR(AVERAGE(J391:J450),"")</f>
        <v>0.0537225947483434</v>
      </c>
    </row>
    <row r="451" customFormat="false" ht="15" hidden="false" customHeight="false" outlineLevel="0" collapsed="false">
      <c r="A451" s="3" t="n">
        <v>46231</v>
      </c>
      <c r="B451" s="4" t="n">
        <f aca="false">0.0535</f>
        <v>0.0535</v>
      </c>
      <c r="C451" s="4" t="n">
        <f aca="false">B450</f>
        <v>0.0525</v>
      </c>
      <c r="D451" s="4" t="n">
        <f aca="false">B451-C451</f>
        <v>0.001</v>
      </c>
      <c r="H451" s="8" t="n">
        <f aca="false">G10+G9*C451</f>
        <v>0.000135146819755012</v>
      </c>
      <c r="I451" s="8" t="n">
        <f aca="false">D451-H451</f>
        <v>0.000864853180244989</v>
      </c>
      <c r="J451" s="8" t="n">
        <f aca="false">C451+D451/(G12*G6)</f>
        <v>0.0820928081676779</v>
      </c>
      <c r="K451" s="4" t="n">
        <f aca="false">(A451-$A$2)/365</f>
        <v>1.86301369863014</v>
      </c>
      <c r="L451" s="8" t="n">
        <f aca="false">IFERROR(AVERAGE(J392:J451),"")</f>
        <v>0.0534859880136128</v>
      </c>
    </row>
    <row r="452" customFormat="false" ht="15" hidden="false" customHeight="false" outlineLevel="0" collapsed="false">
      <c r="A452" s="3" t="n">
        <v>46232</v>
      </c>
      <c r="B452" s="4" t="n">
        <f aca="false">0.0536</f>
        <v>0.0536</v>
      </c>
      <c r="C452" s="4" t="n">
        <f aca="false">B451</f>
        <v>0.0535</v>
      </c>
      <c r="D452" s="4" t="n">
        <f aca="false">B452-C452</f>
        <v>0.000100000000000003</v>
      </c>
      <c r="H452" s="8" t="n">
        <f aca="false">G10+G9*C452</f>
        <v>0.000101354825621375</v>
      </c>
      <c r="I452" s="8" t="n">
        <f aca="false">D452-H452</f>
        <v>-1.35482562137212E-006</v>
      </c>
      <c r="J452" s="8" t="n">
        <f aca="false">C452+D452/(G12*G6)</f>
        <v>0.0564592808167679</v>
      </c>
      <c r="K452" s="4" t="n">
        <f aca="false">(A452-$A$2)/365</f>
        <v>1.86575342465753</v>
      </c>
      <c r="L452" s="8" t="n">
        <f aca="false">IFERROR(AVERAGE(J393:J452),"")</f>
        <v>0.054079510843633</v>
      </c>
    </row>
    <row r="453" customFormat="false" ht="15" hidden="false" customHeight="false" outlineLevel="0" collapsed="false">
      <c r="A453" s="3" t="n">
        <v>46233</v>
      </c>
      <c r="B453" s="4" t="n">
        <f aca="false">0.0534</f>
        <v>0.0534</v>
      </c>
      <c r="C453" s="4" t="n">
        <f aca="false">B452</f>
        <v>0.0536</v>
      </c>
      <c r="D453" s="4" t="n">
        <f aca="false">B453-C453</f>
        <v>-0.000200000000000006</v>
      </c>
      <c r="H453" s="8" t="n">
        <f aca="false">G10+G9*C453</f>
        <v>9.79756262080114E-005</v>
      </c>
      <c r="I453" s="8" t="n">
        <f aca="false">D453-H453</f>
        <v>-0.000297975626208017</v>
      </c>
      <c r="J453" s="8" t="n">
        <f aca="false">C453+D453/(G12*G6)</f>
        <v>0.0476814383664643</v>
      </c>
      <c r="K453" s="4" t="n">
        <f aca="false">(A453-$A$2)/365</f>
        <v>1.86849315068493</v>
      </c>
      <c r="L453" s="8" t="n">
        <f aca="false">IFERROR(AVERAGE(J394:J453),"")</f>
        <v>0.0540025348164074</v>
      </c>
    </row>
    <row r="454" customFormat="false" ht="15" hidden="false" customHeight="false" outlineLevel="0" collapsed="false">
      <c r="A454" s="3" t="n">
        <v>46234</v>
      </c>
      <c r="B454" s="4" t="n">
        <f aca="false">0.0541</f>
        <v>0.0541</v>
      </c>
      <c r="C454" s="4" t="n">
        <f aca="false">B453</f>
        <v>0.0534</v>
      </c>
      <c r="D454" s="4" t="n">
        <f aca="false">B454-C454</f>
        <v>0.000700000000000006</v>
      </c>
      <c r="H454" s="8" t="n">
        <f aca="false">G10+G9*C454</f>
        <v>0.000104734025034739</v>
      </c>
      <c r="I454" s="8" t="n">
        <f aca="false">D454-H454</f>
        <v>0.000595265974965267</v>
      </c>
      <c r="J454" s="8" t="n">
        <f aca="false">C454+D454/(G12*G6)</f>
        <v>0.0741149657173747</v>
      </c>
      <c r="K454" s="4" t="n">
        <f aca="false">(A454-$A$2)/365</f>
        <v>1.87123287671233</v>
      </c>
      <c r="L454" s="8" t="n">
        <f aca="false">IFERROR(AVERAGE(J395:J454),"")</f>
        <v>0.0544154389253098</v>
      </c>
    </row>
    <row r="455" customFormat="false" ht="15" hidden="false" customHeight="false" outlineLevel="0" collapsed="false">
      <c r="A455" s="3" t="n">
        <v>46237</v>
      </c>
      <c r="B455" s="4" t="n">
        <f aca="false">0.0514</f>
        <v>0.0514</v>
      </c>
      <c r="C455" s="4" t="n">
        <f aca="false">B454</f>
        <v>0.0541</v>
      </c>
      <c r="D455" s="4" t="n">
        <f aca="false">B455-C455</f>
        <v>-0.00270000000000001</v>
      </c>
      <c r="H455" s="8" t="n">
        <f aca="false">G10+G9*C455</f>
        <v>8.10796291411931E-005</v>
      </c>
      <c r="I455" s="8" t="n">
        <f aca="false">D455-H455</f>
        <v>-0.0027810796291412</v>
      </c>
      <c r="J455" s="8" t="n">
        <f aca="false">C455+D455/(G12*G6)</f>
        <v>-0.0258005820527306</v>
      </c>
      <c r="K455" s="4" t="n">
        <f aca="false">(A455-$A$2)/365</f>
        <v>1.87945205479452</v>
      </c>
      <c r="L455" s="8" t="n">
        <f aca="false">IFERROR(AVERAGE(J396:J455),"")</f>
        <v>0.0530661078774848</v>
      </c>
    </row>
    <row r="456" customFormat="false" ht="15" hidden="false" customHeight="false" outlineLevel="0" collapsed="false">
      <c r="A456" s="3" t="n">
        <v>46238</v>
      </c>
      <c r="B456" s="4" t="n">
        <f aca="false">0.0509</f>
        <v>0.0509</v>
      </c>
      <c r="C456" s="4" t="n">
        <f aca="false">B455</f>
        <v>0.0514</v>
      </c>
      <c r="D456" s="4" t="n">
        <f aca="false">B456-C456</f>
        <v>-0.000499999999999994</v>
      </c>
      <c r="H456" s="8" t="n">
        <f aca="false">G10+G9*C456</f>
        <v>0.000172318013302012</v>
      </c>
      <c r="I456" s="8" t="n">
        <f aca="false">D456-H456</f>
        <v>-0.000672318013302005</v>
      </c>
      <c r="J456" s="8" t="n">
        <f aca="false">C456+D456/(G12*G6)</f>
        <v>0.0366035959161612</v>
      </c>
      <c r="K456" s="4" t="n">
        <f aca="false">(A456-$A$2)/365</f>
        <v>1.88219178082192</v>
      </c>
      <c r="L456" s="8" t="n">
        <f aca="false">IFERROR(AVERAGE(J397:J456),"")</f>
        <v>0.0528045011427542</v>
      </c>
    </row>
    <row r="457" customFormat="false" ht="15" hidden="false" customHeight="false" outlineLevel="0" collapsed="false">
      <c r="A457" s="3" t="n">
        <v>46239</v>
      </c>
      <c r="B457" s="4" t="n">
        <f aca="false">0.0509</f>
        <v>0.0509</v>
      </c>
      <c r="C457" s="4" t="n">
        <f aca="false">B456</f>
        <v>0.0509</v>
      </c>
      <c r="D457" s="4" t="n">
        <f aca="false">B457-C457</f>
        <v>0</v>
      </c>
      <c r="H457" s="8" t="n">
        <f aca="false">G10+G9*C457</f>
        <v>0.00018921401036883</v>
      </c>
      <c r="I457" s="8" t="n">
        <f aca="false">D457-H457</f>
        <v>-0.00018921401036883</v>
      </c>
      <c r="J457" s="8" t="n">
        <f aca="false">C457+D457/(G12*G6)</f>
        <v>0.0509</v>
      </c>
      <c r="K457" s="4" t="n">
        <f aca="false">(A457-$A$2)/365</f>
        <v>1.88493150684932</v>
      </c>
      <c r="L457" s="8" t="n">
        <f aca="false">IFERROR(AVERAGE(J398:J457),"")</f>
        <v>0.0520413476052289</v>
      </c>
    </row>
    <row r="458" customFormat="false" ht="15" hidden="false" customHeight="false" outlineLevel="0" collapsed="false">
      <c r="A458" s="3" t="n">
        <v>46240</v>
      </c>
      <c r="B458" s="4" t="n">
        <f aca="false">0.0524</f>
        <v>0.0524</v>
      </c>
      <c r="C458" s="4" t="n">
        <f aca="false">B457</f>
        <v>0.0509</v>
      </c>
      <c r="D458" s="4" t="n">
        <f aca="false">B458-C458</f>
        <v>0.0015</v>
      </c>
      <c r="H458" s="8" t="n">
        <f aca="false">G10+G9*C458</f>
        <v>0.00018921401036883</v>
      </c>
      <c r="I458" s="8" t="n">
        <f aca="false">D458-H458</f>
        <v>0.00131078598963117</v>
      </c>
      <c r="J458" s="8" t="n">
        <f aca="false">C458+D458/(G12*G6)</f>
        <v>0.0952892122515169</v>
      </c>
      <c r="K458" s="4" t="n">
        <f aca="false">(A458-$A$2)/365</f>
        <v>1.88767123287671</v>
      </c>
      <c r="L458" s="8" t="n">
        <f aca="false">IFERROR(AVERAGE(J399:J458),"")</f>
        <v>0.0530287625577643</v>
      </c>
    </row>
    <row r="459" customFormat="false" ht="15" hidden="false" customHeight="false" outlineLevel="0" collapsed="false">
      <c r="A459" s="3" t="n">
        <v>46241</v>
      </c>
      <c r="B459" s="4" t="n">
        <f aca="false">0.0514</f>
        <v>0.0514</v>
      </c>
      <c r="C459" s="4" t="n">
        <f aca="false">B458</f>
        <v>0.0524</v>
      </c>
      <c r="D459" s="4" t="n">
        <f aca="false">B459-C459</f>
        <v>-0.00100000000000001</v>
      </c>
      <c r="H459" s="8" t="n">
        <f aca="false">G10+G9*C459</f>
        <v>0.000138526019168375</v>
      </c>
      <c r="I459" s="8" t="n">
        <f aca="false">D459-H459</f>
        <v>-0.00113852601916838</v>
      </c>
      <c r="J459" s="8" t="n">
        <f aca="false">C459+D459/(G12*G6)</f>
        <v>0.0228071918323219</v>
      </c>
      <c r="K459" s="4" t="n">
        <f aca="false">(A459-$A$2)/365</f>
        <v>1.89041095890411</v>
      </c>
      <c r="L459" s="8" t="n">
        <f aca="false">IFERROR(AVERAGE(J400:J459),"")</f>
        <v>0.0525715371019158</v>
      </c>
    </row>
    <row r="460" customFormat="false" ht="15" hidden="false" customHeight="false" outlineLevel="0" collapsed="false">
      <c r="A460" s="3" t="n">
        <v>46244</v>
      </c>
      <c r="B460" s="4" t="n">
        <f aca="false">0.0513</f>
        <v>0.0513</v>
      </c>
      <c r="C460" s="4" t="n">
        <f aca="false">B459</f>
        <v>0.0514</v>
      </c>
      <c r="D460" s="4" t="n">
        <f aca="false">B460-C460</f>
        <v>-9.99999999999959E-005</v>
      </c>
      <c r="H460" s="8" t="n">
        <f aca="false">G10+G9*C460</f>
        <v>0.000172318013302012</v>
      </c>
      <c r="I460" s="8" t="n">
        <f aca="false">D460-H460</f>
        <v>-0.000272318013302008</v>
      </c>
      <c r="J460" s="8" t="n">
        <f aca="false">C460+D460/(G12*G6)</f>
        <v>0.0484407191832323</v>
      </c>
      <c r="K460" s="4" t="n">
        <f aca="false">(A460-$A$2)/365</f>
        <v>1.8986301369863</v>
      </c>
      <c r="L460" s="8" t="n">
        <f aca="false">IFERROR(AVERAGE(J401:J460),"")</f>
        <v>0.0526911678094209</v>
      </c>
    </row>
    <row r="461" customFormat="false" ht="15" hidden="false" customHeight="false" outlineLevel="0" collapsed="false">
      <c r="A461" s="3" t="n">
        <v>46245</v>
      </c>
      <c r="B461" s="4" t="n">
        <f aca="false">0.0513</f>
        <v>0.0513</v>
      </c>
      <c r="C461" s="4" t="n">
        <f aca="false">B460</f>
        <v>0.0513</v>
      </c>
      <c r="D461" s="4" t="n">
        <f aca="false">B461-C461</f>
        <v>0</v>
      </c>
      <c r="H461" s="8" t="n">
        <f aca="false">G10+G9*C461</f>
        <v>0.000175697212715375</v>
      </c>
      <c r="I461" s="8" t="n">
        <f aca="false">D461-H461</f>
        <v>-0.000175697212715375</v>
      </c>
      <c r="J461" s="8" t="n">
        <f aca="false">C461+D461/(G12*G6)</f>
        <v>0.0513</v>
      </c>
      <c r="K461" s="4" t="n">
        <f aca="false">(A461-$A$2)/365</f>
        <v>1.9013698630137</v>
      </c>
      <c r="L461" s="8" t="n">
        <f aca="false">IFERROR(AVERAGE(J402:J461),"")</f>
        <v>0.0526678344760875</v>
      </c>
    </row>
    <row r="462" customFormat="false" ht="15" hidden="false" customHeight="false" outlineLevel="0" collapsed="false">
      <c r="A462" s="3" t="n">
        <v>46246</v>
      </c>
      <c r="B462" s="4" t="n">
        <f aca="false">0.0514</f>
        <v>0.0514</v>
      </c>
      <c r="C462" s="4" t="n">
        <f aca="false">B461</f>
        <v>0.0513</v>
      </c>
      <c r="D462" s="4" t="n">
        <f aca="false">B462-C462</f>
        <v>9.99999999999959E-005</v>
      </c>
      <c r="H462" s="8" t="n">
        <f aca="false">G10+G9*C462</f>
        <v>0.000175697212715375</v>
      </c>
      <c r="I462" s="8" t="n">
        <f aca="false">D462-H462</f>
        <v>-7.56972127153792E-005</v>
      </c>
      <c r="J462" s="8" t="n">
        <f aca="false">C462+D462/(G12*G6)</f>
        <v>0.0542592808167677</v>
      </c>
      <c r="K462" s="4" t="n">
        <f aca="false">(A462-$A$2)/365</f>
        <v>1.9041095890411</v>
      </c>
      <c r="L462" s="8" t="n">
        <f aca="false">IFERROR(AVERAGE(J403:J462),"")</f>
        <v>0.0528911078774848</v>
      </c>
    </row>
    <row r="463" customFormat="false" ht="15" hidden="false" customHeight="false" outlineLevel="0" collapsed="false">
      <c r="A463" s="3" t="n">
        <v>46247</v>
      </c>
      <c r="B463" s="4" t="n">
        <f aca="false">0.0524</f>
        <v>0.0524</v>
      </c>
      <c r="C463" s="4" t="n">
        <f aca="false">B462</f>
        <v>0.0514</v>
      </c>
      <c r="D463" s="4" t="n">
        <f aca="false">B463-C463</f>
        <v>0.00100000000000001</v>
      </c>
      <c r="H463" s="8" t="n">
        <f aca="false">G10+G9*C463</f>
        <v>0.000172318013302012</v>
      </c>
      <c r="I463" s="8" t="n">
        <f aca="false">D463-H463</f>
        <v>0.000827681986697996</v>
      </c>
      <c r="J463" s="8" t="n">
        <f aca="false">C463+D463/(G12*G6)</f>
        <v>0.0809928081676782</v>
      </c>
      <c r="K463" s="4" t="n">
        <f aca="false">(A463-$A$2)/365</f>
        <v>1.90684931506849</v>
      </c>
      <c r="L463" s="8" t="n">
        <f aca="false">IFERROR(AVERAGE(J404:J463),"")</f>
        <v>0.0531720359591616</v>
      </c>
    </row>
    <row r="464" customFormat="false" ht="15" hidden="false" customHeight="false" outlineLevel="0" collapsed="false">
      <c r="A464" s="3" t="n">
        <v>46248</v>
      </c>
      <c r="B464" s="4" t="n">
        <f aca="false">0.0528</f>
        <v>0.0528</v>
      </c>
      <c r="C464" s="4" t="n">
        <f aca="false">B463</f>
        <v>0.0524</v>
      </c>
      <c r="D464" s="4" t="n">
        <f aca="false">B464-C464</f>
        <v>0.000399999999999998</v>
      </c>
      <c r="H464" s="8" t="n">
        <f aca="false">G10+G9*C464</f>
        <v>0.000138526019168375</v>
      </c>
      <c r="I464" s="8" t="n">
        <f aca="false">D464-H464</f>
        <v>0.000261473980831623</v>
      </c>
      <c r="J464" s="8" t="n">
        <f aca="false">C464+D464/(G12*G6)</f>
        <v>0.0642371232670711</v>
      </c>
      <c r="K464" s="4" t="n">
        <f aca="false">(A464-$A$2)/365</f>
        <v>1.90958904109589</v>
      </c>
      <c r="L464" s="8" t="n">
        <f aca="false">IFERROR(AVERAGE(J405:J464),"")</f>
        <v>0.053315</v>
      </c>
    </row>
    <row r="465" customFormat="false" ht="15" hidden="false" customHeight="false" outlineLevel="0" collapsed="false">
      <c r="A465" s="3" t="n">
        <v>46251</v>
      </c>
      <c r="B465" s="4" t="n">
        <f aca="false">0.0524</f>
        <v>0.0524</v>
      </c>
      <c r="C465" s="4" t="n">
        <f aca="false">B464</f>
        <v>0.0528</v>
      </c>
      <c r="D465" s="4" t="n">
        <f aca="false">B465-C465</f>
        <v>-0.000399999999999998</v>
      </c>
      <c r="H465" s="8" t="n">
        <f aca="false">G10+G9*C465</f>
        <v>0.00012500922151492</v>
      </c>
      <c r="I465" s="8" t="n">
        <f aca="false">D465-H465</f>
        <v>-0.000525009221514918</v>
      </c>
      <c r="J465" s="8" t="n">
        <f aca="false">C465+D465/(G12*G6)</f>
        <v>0.0409628767329289</v>
      </c>
      <c r="K465" s="4" t="n">
        <f aca="false">(A465-$A$2)/365</f>
        <v>1.91780821917808</v>
      </c>
      <c r="L465" s="8" t="n">
        <f aca="false">IFERROR(AVERAGE(J406:J465),"")</f>
        <v>0.0528711078774848</v>
      </c>
    </row>
    <row r="466" customFormat="false" ht="15" hidden="false" customHeight="false" outlineLevel="0" collapsed="false">
      <c r="A466" s="3" t="n">
        <v>46252</v>
      </c>
      <c r="B466" s="4" t="n">
        <f aca="false">0.0516</f>
        <v>0.0516</v>
      </c>
      <c r="C466" s="4" t="n">
        <f aca="false">B465</f>
        <v>0.0524</v>
      </c>
      <c r="D466" s="4" t="n">
        <f aca="false">B466-C466</f>
        <v>-0.000800000000000002</v>
      </c>
      <c r="H466" s="8" t="n">
        <f aca="false">G10+G9*C466</f>
        <v>0.000138526019168375</v>
      </c>
      <c r="I466" s="8" t="n">
        <f aca="false">D466-H466</f>
        <v>-0.000938526019168377</v>
      </c>
      <c r="J466" s="8" t="n">
        <f aca="false">C466+D466/(G12*G6)</f>
        <v>0.0287257534658576</v>
      </c>
      <c r="K466" s="4" t="n">
        <f aca="false">(A466-$A$2)/365</f>
        <v>1.92054794520548</v>
      </c>
      <c r="L466" s="8" t="n">
        <f aca="false">IFERROR(AVERAGE(J407:J466),"")</f>
        <v>0.0519683236324545</v>
      </c>
    </row>
    <row r="467" customFormat="false" ht="15" hidden="false" customHeight="false" outlineLevel="0" collapsed="false">
      <c r="A467" s="3" t="n">
        <v>46253</v>
      </c>
      <c r="B467" s="4" t="n">
        <f aca="false">0.0519</f>
        <v>0.0519</v>
      </c>
      <c r="C467" s="4" t="n">
        <f aca="false">B466</f>
        <v>0.0516</v>
      </c>
      <c r="D467" s="4" t="n">
        <f aca="false">B467-C467</f>
        <v>0.000300000000000002</v>
      </c>
      <c r="H467" s="8" t="n">
        <f aca="false">G10+G9*C467</f>
        <v>0.000165559614475284</v>
      </c>
      <c r="I467" s="8" t="n">
        <f aca="false">D467-H467</f>
        <v>0.000134440385524717</v>
      </c>
      <c r="J467" s="8" t="n">
        <f aca="false">C467+D467/(G12*G6)</f>
        <v>0.0604778424503034</v>
      </c>
      <c r="K467" s="4" t="n">
        <f aca="false">(A467-$A$2)/365</f>
        <v>1.92328767123288</v>
      </c>
      <c r="L467" s="8" t="n">
        <f aca="false">IFERROR(AVERAGE(J408:J467),"")</f>
        <v>0.0520712876732929</v>
      </c>
    </row>
    <row r="468" customFormat="false" ht="15" hidden="false" customHeight="false" outlineLevel="0" collapsed="false">
      <c r="A468" s="3" t="n">
        <v>46254</v>
      </c>
      <c r="B468" s="4" t="n">
        <f aca="false">0.0519</f>
        <v>0.0519</v>
      </c>
      <c r="C468" s="4" t="n">
        <f aca="false">B467</f>
        <v>0.0519</v>
      </c>
      <c r="D468" s="4" t="n">
        <f aca="false">B468-C468</f>
        <v>0</v>
      </c>
      <c r="H468" s="8" t="n">
        <f aca="false">G10+G9*C468</f>
        <v>0.000155422016235193</v>
      </c>
      <c r="I468" s="8" t="n">
        <f aca="false">D468-H468</f>
        <v>-0.000155422016235193</v>
      </c>
      <c r="J468" s="8" t="n">
        <f aca="false">C468+D468/(G12*G6)</f>
        <v>0.0519</v>
      </c>
      <c r="K468" s="4" t="n">
        <f aca="false">(A468-$A$2)/365</f>
        <v>1.92602739726027</v>
      </c>
      <c r="L468" s="8" t="n">
        <f aca="false">IFERROR(AVERAGE(J409:J468),"")</f>
        <v>0.0520312876732929</v>
      </c>
    </row>
    <row r="469" customFormat="false" ht="15" hidden="false" customHeight="false" outlineLevel="0" collapsed="false">
      <c r="A469" s="3" t="n">
        <v>46255</v>
      </c>
      <c r="B469" s="4" t="n">
        <f aca="false">0.0523</f>
        <v>0.0523</v>
      </c>
      <c r="C469" s="4" t="n">
        <f aca="false">B468</f>
        <v>0.0519</v>
      </c>
      <c r="D469" s="4" t="n">
        <f aca="false">B469-C469</f>
        <v>0.000400000000000005</v>
      </c>
      <c r="H469" s="8" t="n">
        <f aca="false">G10+G9*C469</f>
        <v>0.000155422016235193</v>
      </c>
      <c r="I469" s="8" t="n">
        <f aca="false">D469-H469</f>
        <v>0.000244577983764811</v>
      </c>
      <c r="J469" s="8" t="n">
        <f aca="false">C469+D469/(G12*G6)</f>
        <v>0.0637371232670713</v>
      </c>
      <c r="K469" s="4" t="n">
        <f aca="false">(A469-$A$2)/365</f>
        <v>1.92876712328767</v>
      </c>
      <c r="L469" s="8" t="n">
        <f aca="false">IFERROR(AVERAGE(J410:J469),"")</f>
        <v>0.0521885730610774</v>
      </c>
    </row>
    <row r="470" customFormat="false" ht="15" hidden="false" customHeight="false" outlineLevel="0" collapsed="false">
      <c r="A470" s="3" t="n">
        <v>46258</v>
      </c>
      <c r="B470" s="4" t="n">
        <f aca="false">0.0524</f>
        <v>0.0524</v>
      </c>
      <c r="C470" s="4" t="n">
        <f aca="false">B469</f>
        <v>0.0523</v>
      </c>
      <c r="D470" s="4" t="n">
        <f aca="false">B470-C470</f>
        <v>9.99999999999959E-005</v>
      </c>
      <c r="H470" s="8" t="n">
        <f aca="false">G10+G9*C470</f>
        <v>0.000141905218581739</v>
      </c>
      <c r="I470" s="8" t="n">
        <f aca="false">D470-H470</f>
        <v>-4.19052185817426E-005</v>
      </c>
      <c r="J470" s="8" t="n">
        <f aca="false">C470+D470/(G12*G6)</f>
        <v>0.0552592808167677</v>
      </c>
      <c r="K470" s="4" t="n">
        <f aca="false">(A470-$A$2)/365</f>
        <v>1.93698630136986</v>
      </c>
      <c r="L470" s="8" t="n">
        <f aca="false">IFERROR(AVERAGE(J411:J470),"")</f>
        <v>0.051760668952175</v>
      </c>
    </row>
    <row r="471" customFormat="false" ht="15" hidden="false" customHeight="false" outlineLevel="0" collapsed="false">
      <c r="A471" s="3" t="n">
        <v>46259</v>
      </c>
      <c r="B471" s="4" t="n">
        <f aca="false">0.0522</f>
        <v>0.0522</v>
      </c>
      <c r="C471" s="4" t="n">
        <f aca="false">B470</f>
        <v>0.0524</v>
      </c>
      <c r="D471" s="4" t="n">
        <f aca="false">B471-C471</f>
        <v>-0.000200000000000006</v>
      </c>
      <c r="H471" s="8" t="n">
        <f aca="false">G10+G9*C471</f>
        <v>0.000138526019168375</v>
      </c>
      <c r="I471" s="8" t="n">
        <f aca="false">D471-H471</f>
        <v>-0.000338526019168381</v>
      </c>
      <c r="J471" s="8" t="n">
        <f aca="false">C471+D471/(G12*G6)</f>
        <v>0.0464814383664643</v>
      </c>
      <c r="K471" s="4" t="n">
        <f aca="false">(A471-$A$2)/365</f>
        <v>1.93972602739726</v>
      </c>
      <c r="L471" s="8" t="n">
        <f aca="false">IFERROR(AVERAGE(J412:J471),"")</f>
        <v>0.0525031438366464</v>
      </c>
    </row>
    <row r="472" customFormat="false" ht="15" hidden="false" customHeight="false" outlineLevel="0" collapsed="false">
      <c r="A472" s="3" t="n">
        <v>46261</v>
      </c>
      <c r="B472" s="4" t="n">
        <f aca="false">0.0524</f>
        <v>0.0524</v>
      </c>
      <c r="C472" s="4" t="n">
        <f aca="false">B471</f>
        <v>0.0522</v>
      </c>
      <c r="D472" s="4" t="n">
        <f aca="false">B472-C472</f>
        <v>0.000200000000000006</v>
      </c>
      <c r="H472" s="8" t="n">
        <f aca="false">G10+G9*C472</f>
        <v>0.000145284417995103</v>
      </c>
      <c r="I472" s="8" t="n">
        <f aca="false">D472-H472</f>
        <v>5.47155820049031E-005</v>
      </c>
      <c r="J472" s="8" t="n">
        <f aca="false">C472+D472/(G12*G6)</f>
        <v>0.0581185616335358</v>
      </c>
      <c r="K472" s="4" t="n">
        <f aca="false">(A472-$A$2)/365</f>
        <v>1.94520547945205</v>
      </c>
      <c r="L472" s="8" t="n">
        <f aca="false">IFERROR(AVERAGE(J413:J472),"")</f>
        <v>0.0525817865305387</v>
      </c>
    </row>
    <row r="473" customFormat="false" ht="15" hidden="false" customHeight="false" outlineLevel="0" collapsed="false">
      <c r="A473" s="3" t="n">
        <v>46262</v>
      </c>
      <c r="B473" s="4" t="n">
        <f aca="false">0.0524</f>
        <v>0.0524</v>
      </c>
      <c r="C473" s="4" t="n">
        <f aca="false">B472</f>
        <v>0.0524</v>
      </c>
      <c r="D473" s="4" t="n">
        <f aca="false">B473-C473</f>
        <v>0</v>
      </c>
      <c r="H473" s="8" t="n">
        <f aca="false">G10+G9*C473</f>
        <v>0.000138526019168375</v>
      </c>
      <c r="I473" s="8" t="n">
        <f aca="false">D473-H473</f>
        <v>-0.000138526019168375</v>
      </c>
      <c r="J473" s="8" t="n">
        <f aca="false">C473+D473/(G12*G6)</f>
        <v>0.0524</v>
      </c>
      <c r="K473" s="4" t="n">
        <f aca="false">(A473-$A$2)/365</f>
        <v>1.94794520547945</v>
      </c>
      <c r="L473" s="8" t="n">
        <f aca="false">IFERROR(AVERAGE(J414:J473),"")</f>
        <v>0.0526144412108182</v>
      </c>
    </row>
    <row r="474" customFormat="false" ht="15" hidden="false" customHeight="false" outlineLevel="0" collapsed="false">
      <c r="A474" s="3" t="n">
        <v>46265</v>
      </c>
      <c r="B474" s="4" t="n">
        <f aca="false">0.0524</f>
        <v>0.0524</v>
      </c>
      <c r="C474" s="4" t="n">
        <f aca="false">B473</f>
        <v>0.0524</v>
      </c>
      <c r="D474" s="4" t="n">
        <f aca="false">B474-C474</f>
        <v>0</v>
      </c>
      <c r="H474" s="8" t="n">
        <f aca="false">G10+G9*C474</f>
        <v>0.000138526019168375</v>
      </c>
      <c r="I474" s="8" t="n">
        <f aca="false">D474-H474</f>
        <v>-0.000138526019168375</v>
      </c>
      <c r="J474" s="8" t="n">
        <f aca="false">C474+D474/(G12*G6)</f>
        <v>0.0524</v>
      </c>
      <c r="K474" s="4" t="n">
        <f aca="false">(A474-$A$2)/365</f>
        <v>1.95616438356164</v>
      </c>
      <c r="L474" s="8" t="n">
        <f aca="false">IFERROR(AVERAGE(J415:J474),"")</f>
        <v>0.0525994412108182</v>
      </c>
    </row>
    <row r="475" customFormat="false" ht="15" hidden="false" customHeight="false" outlineLevel="0" collapsed="false">
      <c r="A475" s="3" t="n">
        <v>46266</v>
      </c>
      <c r="B475" s="4" t="n">
        <f aca="false">0.0523</f>
        <v>0.0523</v>
      </c>
      <c r="C475" s="4" t="n">
        <f aca="false">B474</f>
        <v>0.0524</v>
      </c>
      <c r="D475" s="4" t="n">
        <f aca="false">B475-C475</f>
        <v>-9.99999999999959E-005</v>
      </c>
      <c r="H475" s="8" t="n">
        <f aca="false">G10+G9*C475</f>
        <v>0.000138526019168375</v>
      </c>
      <c r="I475" s="8" t="n">
        <f aca="false">D475-H475</f>
        <v>-0.000238526019168371</v>
      </c>
      <c r="J475" s="8" t="n">
        <f aca="false">C475+D475/(G12*G6)</f>
        <v>0.0494407191832323</v>
      </c>
      <c r="K475" s="4" t="n">
        <f aca="false">(A475-$A$2)/365</f>
        <v>1.95890410958904</v>
      </c>
      <c r="L475" s="8" t="n">
        <f aca="false">IFERROR(AVERAGE(J416:J475),"")</f>
        <v>0.0523871558230336</v>
      </c>
    </row>
    <row r="476" customFormat="false" ht="15" hidden="false" customHeight="false" outlineLevel="0" collapsed="false">
      <c r="A476" s="3" t="n">
        <v>46267</v>
      </c>
      <c r="B476" s="4" t="n">
        <f aca="false">0.0508</f>
        <v>0.0508</v>
      </c>
      <c r="C476" s="4" t="n">
        <f aca="false">B475</f>
        <v>0.0523</v>
      </c>
      <c r="D476" s="4" t="n">
        <f aca="false">B476-C476</f>
        <v>-0.00150000000000001</v>
      </c>
      <c r="H476" s="8" t="n">
        <f aca="false">G10+G9*C476</f>
        <v>0.000141905218581739</v>
      </c>
      <c r="I476" s="8" t="n">
        <f aca="false">D476-H476</f>
        <v>-0.00164190521858175</v>
      </c>
      <c r="J476" s="8" t="n">
        <f aca="false">C476+D476/(G12*G6)</f>
        <v>0.00791078774848288</v>
      </c>
      <c r="K476" s="4" t="n">
        <f aca="false">(A476-$A$2)/365</f>
        <v>1.96164383561644</v>
      </c>
      <c r="L476" s="8" t="n">
        <f aca="false">IFERROR(AVERAGE(J417:J476),"")</f>
        <v>0.0515270262582828</v>
      </c>
    </row>
    <row r="477" customFormat="false" ht="15" hidden="false" customHeight="false" outlineLevel="0" collapsed="false">
      <c r="A477" s="3" t="n">
        <v>46268</v>
      </c>
      <c r="B477" s="4" t="n">
        <f aca="false">0.0501</f>
        <v>0.0501</v>
      </c>
      <c r="C477" s="4" t="n">
        <f aca="false">B476</f>
        <v>0.0508</v>
      </c>
      <c r="D477" s="4" t="n">
        <f aca="false">B477-C477</f>
        <v>-0.000699999999999999</v>
      </c>
      <c r="H477" s="8" t="n">
        <f aca="false">G10+G9*C477</f>
        <v>0.000192593209782193</v>
      </c>
      <c r="I477" s="8" t="n">
        <f aca="false">D477-H477</f>
        <v>-0.000892593209782193</v>
      </c>
      <c r="J477" s="8" t="n">
        <f aca="false">C477+D477/(G12*G6)</f>
        <v>0.0300850342826255</v>
      </c>
      <c r="K477" s="4" t="n">
        <f aca="false">(A477-$A$2)/365</f>
        <v>1.96438356164384</v>
      </c>
      <c r="L477" s="8" t="n">
        <f aca="false">IFERROR(AVERAGE(J418:J477),"")</f>
        <v>0.0513783835643905</v>
      </c>
    </row>
    <row r="478" customFormat="false" ht="15" hidden="false" customHeight="false" outlineLevel="0" collapsed="false">
      <c r="A478" s="3" t="n">
        <v>46269</v>
      </c>
      <c r="B478" s="4" t="n">
        <f aca="false">0.0491</f>
        <v>0.0491</v>
      </c>
      <c r="C478" s="4" t="n">
        <f aca="false">B477</f>
        <v>0.0501</v>
      </c>
      <c r="D478" s="4" t="n">
        <f aca="false">B478-C478</f>
        <v>-0.000999999999999994</v>
      </c>
      <c r="H478" s="8" t="n">
        <f aca="false">G10+G9*C478</f>
        <v>0.000216247605675739</v>
      </c>
      <c r="I478" s="8" t="n">
        <f aca="false">D478-H478</f>
        <v>-0.00121624760567573</v>
      </c>
      <c r="J478" s="8" t="n">
        <f aca="false">C478+D478/(G12*G6)</f>
        <v>0.0205071918323223</v>
      </c>
      <c r="K478" s="4" t="n">
        <f aca="false">(A478-$A$2)/365</f>
        <v>1.96712328767123</v>
      </c>
      <c r="L478" s="8" t="n">
        <f aca="false">IFERROR(AVERAGE(J419:J478),"")</f>
        <v>0.0508318367615959</v>
      </c>
    </row>
    <row r="479" customFormat="false" ht="15" hidden="false" customHeight="false" outlineLevel="0" collapsed="false">
      <c r="A479" s="3" t="n">
        <v>46272</v>
      </c>
      <c r="B479" s="4" t="n">
        <f aca="false">0.0503</f>
        <v>0.0503</v>
      </c>
      <c r="C479" s="4" t="n">
        <f aca="false">B478</f>
        <v>0.0491</v>
      </c>
      <c r="D479" s="4" t="n">
        <f aca="false">B479-C479</f>
        <v>0.0012</v>
      </c>
      <c r="H479" s="8" t="n">
        <f aca="false">G10+G9*C479</f>
        <v>0.000250039599809375</v>
      </c>
      <c r="I479" s="8" t="n">
        <f aca="false">D479-H479</f>
        <v>0.000949960400190625</v>
      </c>
      <c r="J479" s="8" t="n">
        <f aca="false">C479+D479/(G12*G6)</f>
        <v>0.0846113698012135</v>
      </c>
      <c r="K479" s="4" t="n">
        <f aca="false">(A479-$A$2)/365</f>
        <v>1.97534246575342</v>
      </c>
      <c r="L479" s="8" t="n">
        <f aca="false">IFERROR(AVERAGE(J420:J479),"")</f>
        <v>0.0513536929249494</v>
      </c>
    </row>
    <row r="480" customFormat="false" ht="15" hidden="false" customHeight="false" outlineLevel="0" collapsed="false">
      <c r="A480" s="3" t="n">
        <v>46273</v>
      </c>
      <c r="B480" s="4" t="n">
        <f aca="false">0.0503</f>
        <v>0.0503</v>
      </c>
      <c r="C480" s="4" t="n">
        <f aca="false">B479</f>
        <v>0.0503</v>
      </c>
      <c r="D480" s="4" t="n">
        <f aca="false">B480-C480</f>
        <v>0</v>
      </c>
      <c r="H480" s="8" t="n">
        <f aca="false">G10+G9*C480</f>
        <v>0.000209489206849011</v>
      </c>
      <c r="I480" s="8" t="n">
        <f aca="false">D480-H480</f>
        <v>-0.000209489206849011</v>
      </c>
      <c r="J480" s="8" t="n">
        <f aca="false">C480+D480/(G12*G6)</f>
        <v>0.0503</v>
      </c>
      <c r="K480" s="4" t="n">
        <f aca="false">(A480-$A$2)/365</f>
        <v>1.97808219178082</v>
      </c>
      <c r="L480" s="8" t="n">
        <f aca="false">IFERROR(AVERAGE(J421:J480),"")</f>
        <v>0.0513036929249494</v>
      </c>
    </row>
    <row r="481" customFormat="false" ht="15" hidden="false" customHeight="false" outlineLevel="0" collapsed="false">
      <c r="A481" s="3" t="n">
        <v>46274</v>
      </c>
      <c r="B481" s="4" t="n">
        <f aca="false">0.0504</f>
        <v>0.0504</v>
      </c>
      <c r="C481" s="4" t="n">
        <f aca="false">B480</f>
        <v>0.0503</v>
      </c>
      <c r="D481" s="4" t="n">
        <f aca="false">B481-C481</f>
        <v>9.99999999999959E-005</v>
      </c>
      <c r="H481" s="8" t="n">
        <f aca="false">G10+G9*C481</f>
        <v>0.000209489206849011</v>
      </c>
      <c r="I481" s="8" t="n">
        <f aca="false">D481-H481</f>
        <v>-0.000109489206849016</v>
      </c>
      <c r="J481" s="8" t="n">
        <f aca="false">C481+D481/(G12*G6)</f>
        <v>0.0532592808167677</v>
      </c>
      <c r="K481" s="4" t="n">
        <f aca="false">(A481-$A$2)/365</f>
        <v>1.98082191780822</v>
      </c>
      <c r="L481" s="8" t="n">
        <f aca="false">IFERROR(AVERAGE(J422:J481),"")</f>
        <v>0.0513030142718956</v>
      </c>
    </row>
    <row r="484" customFormat="false" ht="45" hidden="false" customHeight="true" outlineLevel="0" collapsed="false">
      <c r="F484" s="13" t="s">
        <v>37</v>
      </c>
      <c r="G484" s="13"/>
      <c r="H484" s="13"/>
      <c r="I484" s="13"/>
      <c r="J484" s="13"/>
      <c r="K484" s="13"/>
      <c r="L484" s="13"/>
    </row>
  </sheetData>
  <mergeCells count="3">
    <mergeCell ref="F1:G1"/>
    <mergeCell ref="F33:G33"/>
    <mergeCell ref="F484:L4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2026-09-18T07:26:02Z</dcterms:created>
  <dc:creator>openpyxl</dc:creator>
  <dc:description/>
  <dc:language>en-US</dc:language>
  <cp:lastModifiedBy/>
  <dcterms:modified xsi:type="dcterms:W3CDTF">2026-09-18T07:26:04Z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