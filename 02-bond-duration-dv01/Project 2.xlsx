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856" windowHeight="9000" activeTab="1"/>
  </bookViews>
  <sheets>
    <sheet name="Macaulay Duration (a)" sheetId="1" r:id="rId1"/>
    <sheet name="DV01 (b)" sheetId="4" r:id="rId2"/>
  </sheets>
  <definedNames>
    <definedName name="_xlcn.WorksheetConnection_Book1Table11" hidden="1">Table1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Book1!Table1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<sst xmlns="http://schemas.openxmlformats.org/spreadsheetml/2006/main" count="74" uniqueCount="72">
  <si>
    <t xml:space="preserve">Calculate Duration </t>
  </si>
  <si>
    <t xml:space="preserve">Principal </t>
  </si>
  <si>
    <t xml:space="preserve">Coupon Rate </t>
  </si>
  <si>
    <t>n(years)</t>
  </si>
  <si>
    <t xml:space="preserve">Semi Annually payment </t>
  </si>
  <si>
    <t xml:space="preserve">Solution </t>
  </si>
  <si>
    <t xml:space="preserve">Macaulay Duration </t>
  </si>
  <si>
    <t xml:space="preserve">Year </t>
  </si>
  <si>
    <t>Spot Rate</t>
  </si>
  <si>
    <t xml:space="preserve">Cash Flow </t>
  </si>
  <si>
    <t>PV(Spot Rate)</t>
  </si>
  <si>
    <t>PV (Yield) X Year</t>
  </si>
  <si>
    <t xml:space="preserve">Duration </t>
  </si>
  <si>
    <t>DV01 RISK OF BOND ACROSS 1Y, 2Y, 3Y, 4Y, 5Y KEY RATE POINTS (Hull-White Model)</t>
  </si>
  <si>
    <t>1. Bond Parameters</t>
  </si>
  <si>
    <t>Coupon Rate (annual)</t>
  </si>
  <si>
    <t>Frequency (per year)</t>
  </si>
  <si>
    <t>Tenor (years)</t>
  </si>
  <si>
    <t>Principal (Rs.)</t>
  </si>
  <si>
    <t>Semi-Annual Coupon (Rs.)</t>
  </si>
  <si>
    <t>1 bp (shock size)</t>
  </si>
  <si>
    <t>2. Hull-White Model Input Rates (given) &amp; Linear Fit</t>
  </si>
  <si>
    <t>Year</t>
  </si>
  <si>
    <t>Rate</t>
  </si>
  <si>
    <t>Slope (b) = (Rate2-Rate1)/(Yr2-Yr1)</t>
  </si>
  <si>
    <t>Intercept (a) = Rate1 - b*Yr1</t>
  </si>
  <si>
    <t>Check: Rate3 = a + b*Yr3</t>
  </si>
  <si>
    <t>Model</t>
  </si>
  <si>
    <t>Rate(t) = Intercept + Slope x t</t>
  </si>
  <si>
    <t>3. Rates at 1Y, 2Y, 3Y, 4Y, 5Y (from Hull-White linear model)</t>
  </si>
  <si>
    <t>Rate(t) = a + b x t</t>
  </si>
  <si>
    <t>4. Full Cash-Flow Schedule, Zero Rates (model) &amp; Base-Case Pricing</t>
  </si>
  <si>
    <t>t (yrs)</t>
  </si>
  <si>
    <t>Rate(t)=a+b*t</t>
  </si>
  <si>
    <t>Discount Factor
=(1+Rate)^-t</t>
  </si>
  <si>
    <t>Cash Flow (Rs.)</t>
  </si>
  <si>
    <t>PV (Rs.)</t>
  </si>
  <si>
    <t>PV x t</t>
  </si>
  <si>
    <t>TOTAL</t>
  </si>
  <si>
    <t>Macaulay Duration (yrs) = SUM(PVxt)/Price</t>
  </si>
  <si>
    <t>5. Key-Rate (Triangular) Shock Weights and Re-Priced Bond per Node (+1bp)</t>
  </si>
  <si>
    <t>Note: weight(t) = fraction of the +1bp shock applied to node's rate at that cash-flow date; triangular between neighbouring nodes, flat=1 before 1st node's decay start / after last node (5Y).</t>
  </si>
  <si>
    <t>Rate(t)</t>
  </si>
  <si>
    <t>Cash Flow</t>
  </si>
  <si>
    <t>w(1Y)</t>
  </si>
  <si>
    <t>w(2Y)</t>
  </si>
  <si>
    <t>w(3Y)</t>
  </si>
  <si>
    <t>w(4Y)</t>
  </si>
  <si>
    <t>w(5Y)</t>
  </si>
  <si>
    <t>PV@1Y+1bp</t>
  </si>
  <si>
    <t>PV@2Y+1bp</t>
  </si>
  <si>
    <t>PV@3Y+1bp</t>
  </si>
  <si>
    <t>PV@4Y+1bp</t>
  </si>
  <si>
    <t>PV@5Y+1bp</t>
  </si>
  <si>
    <t>BUMPED PRICE</t>
  </si>
  <si>
    <t>6. DV01 Summary (per 1bp move at each key-rate node)</t>
  </si>
  <si>
    <t>Key-Rate Node</t>
  </si>
  <si>
    <t>Base Rate</t>
  </si>
  <si>
    <t>Base Price (Rs.)</t>
  </si>
  <si>
    <t>Bumped Price (Rs.)</t>
  </si>
  <si>
    <t>DV01 (Rs.) = Base - Bumped</t>
  </si>
  <si>
    <t>1Y</t>
  </si>
  <si>
    <t>2Y</t>
  </si>
  <si>
    <t>3Y</t>
  </si>
  <si>
    <t>4Y</t>
  </si>
  <si>
    <t>5Y</t>
  </si>
  <si>
    <t>TOTAL DV01 (1Y-5Y nodes)</t>
  </si>
  <si>
    <t>Notes / Assumptions</t>
  </si>
  <si>
    <t>1. Hull-White model rates given only at 3.5Y, 4.5Y, 5.5Y; these fit a straight line exactly (slope = -0.80% p.a.), so Rate(t) = 5.01% - 0.80% x t is used to generate every other rate needed (1Y-5Y and all 20 semi-annual cash-flow dates).</t>
  </si>
  <si>
    <t>2. Discounting convention: DF(t) = (1 + Rate(t))^(-t), annually compounded zero rate applied to time t in years.</t>
  </si>
  <si>
    <t>3. DV01 at each node = Base Price - Price after shifting only that node's rate by +1bp, using a triangular key-rate shock that tapers to zero at the neighbouring nodes; the 1st node (1Y) is flat for t&lt;=1Y and the last node (5Y) is held flat (weight=1) for all t&gt;=5Y, so it captures the full remaining tail of the 10-year bond (5Y-10Y).</t>
  </si>
  <si>
    <t>4. All input cells (blue font) are hardcoded from the question; all other cells are live formulas that recalculate if inputs change.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</si>
</sst>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0.0"/>
    <numFmt numFmtId="182" formatCode="0.0000%"/>
    <numFmt numFmtId="183" formatCode="0.000000"/>
  </numFmts>
  <fonts count="30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4"/>
      <color indexed="9"/>
      <name val="Arial"/>
      <charset val="134"/>
    </font>
    <font>
      <b/>
      <sz val="12"/>
      <color indexed="9"/>
      <name val="Arial"/>
      <charset val="134"/>
    </font>
    <font>
      <sz val="11"/>
      <name val="Arial"/>
      <charset val="134"/>
    </font>
    <font>
      <sz val="11"/>
      <color indexed="12"/>
      <name val="Arial"/>
      <charset val="134"/>
    </font>
    <font>
      <b/>
      <sz val="11"/>
      <color indexed="9"/>
      <name val="Arial"/>
      <charset val="134"/>
    </font>
    <font>
      <i/>
      <sz val="11"/>
      <name val="Arial"/>
      <charset val="134"/>
    </font>
    <font>
      <b/>
      <sz val="11"/>
      <color indexed="8"/>
      <name val="Arial"/>
      <charset val="134"/>
    </font>
    <font>
      <i/>
      <sz val="9"/>
      <color indexed="2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vertical="center"/>
    </xf>
    <xf numFmtId="0" fontId="3" fillId="3" borderId="2" xfId="0" applyNumberFormat="1" applyFont="1" applyFill="1" applyBorder="1" applyAlignment="1" applyProtection="1">
      <alignment vertical="center"/>
    </xf>
    <xf numFmtId="0" fontId="4" fillId="0" borderId="3" xfId="0" applyNumberFormat="1" applyFont="1" applyFill="1" applyBorder="1" applyAlignment="1" applyProtection="1">
      <alignment vertical="center"/>
    </xf>
    <xf numFmtId="180" fontId="5" fillId="0" borderId="3" xfId="0" applyNumberFormat="1" applyFont="1" applyFill="1" applyBorder="1" applyAlignment="1" applyProtection="1">
      <alignment vertical="center"/>
    </xf>
    <xf numFmtId="1" fontId="5" fillId="0" borderId="3" xfId="0" applyNumberFormat="1" applyFont="1" applyFill="1" applyBorder="1" applyAlignment="1" applyProtection="1">
      <alignment vertical="center"/>
    </xf>
    <xf numFmtId="3" fontId="5" fillId="0" borderId="3" xfId="0" applyNumberFormat="1" applyFont="1" applyFill="1" applyBorder="1" applyAlignment="1" applyProtection="1">
      <alignment vertical="center"/>
    </xf>
    <xf numFmtId="4" fontId="4" fillId="0" borderId="3" xfId="0" applyNumberFormat="1" applyFont="1" applyFill="1" applyBorder="1" applyAlignment="1" applyProtection="1">
      <alignment vertical="center"/>
    </xf>
    <xf numFmtId="10" fontId="5" fillId="0" borderId="3" xfId="0" applyNumberFormat="1" applyFont="1" applyFill="1" applyBorder="1" applyAlignment="1" applyProtection="1">
      <alignment vertical="center"/>
    </xf>
    <xf numFmtId="0" fontId="6" fillId="4" borderId="3" xfId="0" applyNumberFormat="1" applyFont="1" applyFill="1" applyBorder="1" applyAlignment="1" applyProtection="1">
      <alignment vertical="center"/>
    </xf>
    <xf numFmtId="181" fontId="5" fillId="0" borderId="3" xfId="0" applyNumberFormat="1" applyFont="1" applyFill="1" applyBorder="1" applyAlignment="1" applyProtection="1">
      <alignment vertical="center"/>
    </xf>
    <xf numFmtId="182" fontId="4" fillId="0" borderId="3" xfId="0" applyNumberFormat="1" applyFont="1" applyFill="1" applyBorder="1" applyAlignment="1" applyProtection="1">
      <alignment vertical="center"/>
    </xf>
    <xf numFmtId="10" fontId="4" fillId="0" borderId="3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2" xfId="0" applyNumberFormat="1" applyFont="1" applyFill="1" applyBorder="1" applyAlignment="1" applyProtection="1">
      <alignment vertical="center"/>
    </xf>
    <xf numFmtId="1" fontId="4" fillId="0" borderId="3" xfId="0" applyNumberFormat="1" applyFont="1" applyFill="1" applyBorder="1" applyAlignment="1" applyProtection="1">
      <alignment vertical="center"/>
    </xf>
    <xf numFmtId="0" fontId="6" fillId="4" borderId="3" xfId="0" applyNumberFormat="1" applyFont="1" applyFill="1" applyBorder="1" applyAlignment="1" applyProtection="1">
      <alignment horizontal="center" vertical="center" wrapText="1"/>
    </xf>
    <xf numFmtId="181" fontId="4" fillId="0" borderId="3" xfId="0" applyNumberFormat="1" applyFont="1" applyFill="1" applyBorder="1" applyAlignment="1" applyProtection="1">
      <alignment vertical="center"/>
    </xf>
    <xf numFmtId="183" fontId="4" fillId="0" borderId="3" xfId="0" applyNumberFormat="1" applyFont="1" applyFill="1" applyBorder="1" applyAlignment="1" applyProtection="1">
      <alignment vertical="center"/>
    </xf>
    <xf numFmtId="0" fontId="8" fillId="5" borderId="1" xfId="0" applyNumberFormat="1" applyFont="1" applyFill="1" applyBorder="1" applyAlignment="1" applyProtection="1">
      <alignment vertical="center"/>
    </xf>
    <xf numFmtId="0" fontId="8" fillId="5" borderId="2" xfId="0" applyNumberFormat="1" applyFont="1" applyFill="1" applyBorder="1" applyAlignment="1" applyProtection="1">
      <alignment vertical="center"/>
    </xf>
    <xf numFmtId="0" fontId="8" fillId="5" borderId="4" xfId="0" applyNumberFormat="1" applyFont="1" applyFill="1" applyBorder="1" applyAlignment="1" applyProtection="1">
      <alignment vertical="center"/>
    </xf>
    <xf numFmtId="4" fontId="8" fillId="5" borderId="3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0" fontId="4" fillId="0" borderId="2" xfId="0" applyNumberFormat="1" applyFont="1" applyFill="1" applyBorder="1" applyAlignment="1" applyProtection="1">
      <alignment vertical="center"/>
    </xf>
    <xf numFmtId="0" fontId="4" fillId="0" borderId="4" xfId="0" applyNumberFormat="1" applyFont="1" applyFill="1" applyBorder="1" applyAlignment="1" applyProtection="1">
      <alignment vertical="center"/>
    </xf>
    <xf numFmtId="2" fontId="4" fillId="0" borderId="3" xfId="0" applyNumberFormat="1" applyFont="1" applyFill="1" applyBorder="1" applyAlignment="1" applyProtection="1">
      <alignment vertical="center"/>
    </xf>
    <xf numFmtId="0" fontId="9" fillId="0" borderId="1" xfId="0" applyNumberFormat="1" applyFont="1" applyFill="1" applyBorder="1" applyAlignment="1" applyProtection="1">
      <alignment vertical="center" wrapText="1"/>
    </xf>
    <xf numFmtId="0" fontId="9" fillId="0" borderId="2" xfId="0" applyNumberFormat="1" applyFont="1" applyFill="1" applyBorder="1" applyAlignment="1" applyProtection="1">
      <alignment vertical="center" wrapText="1"/>
    </xf>
    <xf numFmtId="4" fontId="8" fillId="6" borderId="3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0" fillId="7" borderId="0" xfId="0" applyFill="1"/>
    <xf numFmtId="0" fontId="0" fillId="8" borderId="0" xfId="0" applyFill="1"/>
    <xf numFmtId="0" fontId="0" fillId="9" borderId="5" xfId="0" applyFill="1" applyBorder="1"/>
    <xf numFmtId="9" fontId="0" fillId="9" borderId="5" xfId="0" applyNumberFormat="1" applyFill="1" applyBorder="1"/>
    <xf numFmtId="0" fontId="0" fillId="0" borderId="5" xfId="0" applyBorder="1"/>
    <xf numFmtId="0" fontId="0" fillId="1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6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6.xml"/><Relationship Id="rId18" Type="http://schemas.openxmlformats.org/officeDocument/2006/relationships/customXml" Target="../customXml/item15.xml"/><Relationship Id="rId17" Type="http://schemas.openxmlformats.org/officeDocument/2006/relationships/customXml" Target="../customXml/item14.xml"/><Relationship Id="rId16" Type="http://schemas.openxmlformats.org/officeDocument/2006/relationships/customXml" Target="../customXml/item13.xml"/><Relationship Id="rId15" Type="http://schemas.openxmlformats.org/officeDocument/2006/relationships/customXml" Target="../customXml/item12.xml"/><Relationship Id="rId14" Type="http://schemas.openxmlformats.org/officeDocument/2006/relationships/customXml" Target="../customXml/item11.xml"/><Relationship Id="rId13" Type="http://schemas.openxmlformats.org/officeDocument/2006/relationships/customXml" Target="../customXml/item10.xml"/><Relationship Id="rId12" Type="http://schemas.openxmlformats.org/officeDocument/2006/relationships/customXml" Target="../customXml/item9.xml"/><Relationship Id="rId11" Type="http://schemas.openxmlformats.org/officeDocument/2006/relationships/customXml" Target="../customXml/item8.xml"/><Relationship Id="rId10" Type="http://schemas.openxmlformats.org/officeDocument/2006/relationships/customXml" Target="../customXml/item7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1"/>
  <sheetViews>
    <sheetView topLeftCell="A5" workbookViewId="0">
      <selection activeCell="G22" sqref="G22"/>
    </sheetView>
  </sheetViews>
  <sheetFormatPr defaultColWidth="9" defaultRowHeight="14.4" outlineLevelCol="5"/>
  <cols>
    <col min="1" max="1" width="20.4444444444444" customWidth="1"/>
    <col min="3" max="3" width="12.5555555555556" customWidth="1"/>
    <col min="5" max="5" width="12.1111111111111" customWidth="1"/>
    <col min="6" max="6" width="14.2222222222222" customWidth="1"/>
  </cols>
  <sheetData>
    <row r="2" spans="1:6">
      <c r="A2" s="34" t="s">
        <v>0</v>
      </c>
    </row>
    <row r="4" spans="1:6">
      <c r="A4" t="s">
        <v>1</v>
      </c>
      <c r="B4">
        <v>1000000</v>
      </c>
    </row>
    <row r="5" spans="1:6">
      <c r="A5" t="s">
        <v>2</v>
      </c>
      <c r="B5">
        <v>0.08</v>
      </c>
    </row>
    <row r="6" spans="1:6">
      <c r="A6" t="s">
        <v>3</v>
      </c>
      <c r="B6">
        <v>10</v>
      </c>
    </row>
    <row r="7" spans="1:6">
      <c r="A7" t="s">
        <v>4</v>
      </c>
      <c r="B7">
        <v>20</v>
      </c>
    </row>
    <row r="9" spans="1:6">
      <c r="A9" s="35" t="s">
        <v>5</v>
      </c>
      <c r="C9" s="34" t="s">
        <v>6</v>
      </c>
      <c r="D9" s="34"/>
    </row>
    <row r="10" spans="1:6">
      <c r="B10" s="36" t="s">
        <v>7</v>
      </c>
      <c r="C10" s="37" t="s">
        <v>8</v>
      </c>
      <c r="D10" s="36" t="s">
        <v>9</v>
      </c>
      <c r="E10" s="36" t="s">
        <v>10</v>
      </c>
      <c r="F10" s="36" t="s">
        <v>11</v>
      </c>
    </row>
    <row r="11" spans="1:6">
      <c r="B11" s="38">
        <v>1</v>
      </c>
      <c r="C11" s="38">
        <v>0.04</v>
      </c>
      <c r="D11" s="38">
        <v>40000</v>
      </c>
      <c r="E11" s="38">
        <f>D11/(1+C11)^B11</f>
        <v>38461.5384615385</v>
      </c>
      <c r="F11" s="38">
        <f>E11*B11</f>
        <v>38461.5384615385</v>
      </c>
    </row>
    <row r="12" spans="1:6">
      <c r="B12" s="38">
        <v>2</v>
      </c>
      <c r="C12" s="38">
        <v>0.04</v>
      </c>
      <c r="D12" s="38">
        <v>40000</v>
      </c>
      <c r="E12" s="38">
        <f>D12/(1+C12)^B12</f>
        <v>36982.2485207101</v>
      </c>
      <c r="F12" s="38">
        <f>E12*B12</f>
        <v>73964.4970414201</v>
      </c>
    </row>
    <row r="13" spans="1:6">
      <c r="B13" s="38">
        <v>3</v>
      </c>
      <c r="C13" s="38">
        <v>0.04</v>
      </c>
      <c r="D13" s="38">
        <v>40000</v>
      </c>
      <c r="E13" s="38">
        <f>D13/(1+C13)^B13</f>
        <v>35559.8543468366</v>
      </c>
      <c r="F13" s="38">
        <f>E13*B13</f>
        <v>106679.56304051</v>
      </c>
    </row>
    <row r="14" spans="1:6">
      <c r="B14" s="38">
        <v>4</v>
      </c>
      <c r="C14" s="38">
        <v>0.04</v>
      </c>
      <c r="D14" s="38">
        <v>40000</v>
      </c>
      <c r="E14" s="38">
        <f t="shared" ref="E14:E30" si="0">D14/(1+C14)^B14</f>
        <v>34192.167641189</v>
      </c>
      <c r="F14" s="38">
        <f t="shared" ref="F14:F30" si="1">E14*B14</f>
        <v>136768.670564756</v>
      </c>
    </row>
    <row r="15" spans="1:6">
      <c r="B15" s="38">
        <v>5</v>
      </c>
      <c r="C15" s="38">
        <v>0.04</v>
      </c>
      <c r="D15" s="38">
        <v>40000</v>
      </c>
      <c r="E15" s="38">
        <f t="shared" si="0"/>
        <v>32877.0842703741</v>
      </c>
      <c r="F15" s="38">
        <f t="shared" si="1"/>
        <v>164385.42135187</v>
      </c>
    </row>
    <row r="16" spans="1:6">
      <c r="B16" s="38">
        <v>6</v>
      </c>
      <c r="C16" s="38">
        <v>0.04</v>
      </c>
      <c r="D16" s="38">
        <v>40000</v>
      </c>
      <c r="E16" s="38">
        <f t="shared" si="0"/>
        <v>31612.5810292058</v>
      </c>
      <c r="F16" s="38">
        <f t="shared" si="1"/>
        <v>189675.486175235</v>
      </c>
    </row>
    <row r="17" spans="2:6">
      <c r="B17" s="38">
        <v>7</v>
      </c>
      <c r="C17" s="38">
        <v>0.04</v>
      </c>
      <c r="D17" s="38">
        <v>40000</v>
      </c>
      <c r="E17" s="38">
        <f t="shared" si="0"/>
        <v>30396.7125280825</v>
      </c>
      <c r="F17" s="38">
        <f t="shared" si="1"/>
        <v>212776.987696578</v>
      </c>
    </row>
    <row r="18" spans="2:6">
      <c r="B18" s="38">
        <v>8</v>
      </c>
      <c r="C18" s="38">
        <v>0.04</v>
      </c>
      <c r="D18" s="38">
        <v>40000</v>
      </c>
      <c r="E18" s="38">
        <f t="shared" si="0"/>
        <v>29227.6082000794</v>
      </c>
      <c r="F18" s="38">
        <f t="shared" si="1"/>
        <v>233820.865600635</v>
      </c>
    </row>
    <row r="19" spans="2:6">
      <c r="B19" s="38">
        <v>9</v>
      </c>
      <c r="C19" s="38">
        <v>0.04</v>
      </c>
      <c r="D19" s="38">
        <v>40000</v>
      </c>
      <c r="E19" s="38">
        <f t="shared" si="0"/>
        <v>28103.4694231532</v>
      </c>
      <c r="F19" s="38">
        <f t="shared" si="1"/>
        <v>252931.224808379</v>
      </c>
    </row>
    <row r="20" spans="2:6">
      <c r="B20" s="38">
        <v>10</v>
      </c>
      <c r="C20" s="38">
        <v>0.04</v>
      </c>
      <c r="D20" s="38">
        <v>40000</v>
      </c>
      <c r="E20" s="38">
        <f t="shared" si="0"/>
        <v>27022.5667530319</v>
      </c>
      <c r="F20" s="38">
        <f t="shared" si="1"/>
        <v>270225.667530319</v>
      </c>
    </row>
    <row r="21" spans="2:6">
      <c r="B21" s="38">
        <v>11</v>
      </c>
      <c r="C21" s="38">
        <v>0.04</v>
      </c>
      <c r="D21" s="38">
        <v>40000</v>
      </c>
      <c r="E21" s="38">
        <f t="shared" si="0"/>
        <v>25983.2372625307</v>
      </c>
      <c r="F21" s="38">
        <f t="shared" si="1"/>
        <v>285815.609887838</v>
      </c>
    </row>
    <row r="22" spans="2:6">
      <c r="B22" s="38">
        <v>12</v>
      </c>
      <c r="C22" s="38">
        <v>0.04</v>
      </c>
      <c r="D22" s="38">
        <v>40000</v>
      </c>
      <c r="E22" s="38">
        <f t="shared" si="0"/>
        <v>24983.8819832026</v>
      </c>
      <c r="F22" s="38">
        <f t="shared" si="1"/>
        <v>299806.583798431</v>
      </c>
    </row>
    <row r="23" spans="2:6">
      <c r="B23" s="38">
        <v>13</v>
      </c>
      <c r="C23" s="38">
        <v>0.04</v>
      </c>
      <c r="D23" s="38">
        <v>40000</v>
      </c>
      <c r="E23" s="38">
        <f t="shared" si="0"/>
        <v>24022.9634453871</v>
      </c>
      <c r="F23" s="38">
        <f t="shared" si="1"/>
        <v>312298.524790033</v>
      </c>
    </row>
    <row r="24" spans="2:6">
      <c r="B24" s="38">
        <v>14</v>
      </c>
      <c r="C24" s="38">
        <v>0.04</v>
      </c>
      <c r="D24" s="38">
        <v>40000</v>
      </c>
      <c r="E24" s="38">
        <f t="shared" si="0"/>
        <v>23099.0033128722</v>
      </c>
      <c r="F24" s="38">
        <f t="shared" si="1"/>
        <v>323386.046380211</v>
      </c>
    </row>
    <row r="25" spans="2:6">
      <c r="B25" s="38">
        <v>15</v>
      </c>
      <c r="C25" s="38">
        <v>0.04</v>
      </c>
      <c r="D25" s="38">
        <v>40000</v>
      </c>
      <c r="E25" s="38">
        <f t="shared" si="0"/>
        <v>22210.580108531</v>
      </c>
      <c r="F25" s="38">
        <f t="shared" si="1"/>
        <v>333158.701627965</v>
      </c>
    </row>
    <row r="26" spans="2:6">
      <c r="B26" s="38">
        <v>16</v>
      </c>
      <c r="C26" s="38">
        <v>0.04</v>
      </c>
      <c r="D26" s="38">
        <v>40000</v>
      </c>
      <c r="E26" s="38">
        <f t="shared" si="0"/>
        <v>21356.3270274336</v>
      </c>
      <c r="F26" s="38">
        <f t="shared" si="1"/>
        <v>341701.232438938</v>
      </c>
    </row>
    <row r="27" spans="2:6">
      <c r="B27" s="38">
        <v>17</v>
      </c>
      <c r="C27" s="38">
        <v>0.04</v>
      </c>
      <c r="D27" s="38">
        <v>40000</v>
      </c>
      <c r="E27" s="38">
        <f t="shared" si="0"/>
        <v>20534.9298340708</v>
      </c>
      <c r="F27" s="38">
        <f t="shared" si="1"/>
        <v>349093.807179204</v>
      </c>
    </row>
    <row r="28" spans="2:6">
      <c r="B28" s="38">
        <v>18</v>
      </c>
      <c r="C28" s="38">
        <v>0.04</v>
      </c>
      <c r="D28" s="38">
        <v>40000</v>
      </c>
      <c r="E28" s="38">
        <f t="shared" si="0"/>
        <v>19745.1248404527</v>
      </c>
      <c r="F28" s="38">
        <f t="shared" si="1"/>
        <v>355412.247128149</v>
      </c>
    </row>
    <row r="29" spans="2:6">
      <c r="B29" s="38">
        <v>19</v>
      </c>
      <c r="C29" s="38">
        <v>0.04</v>
      </c>
      <c r="D29" s="38">
        <v>40000</v>
      </c>
      <c r="E29" s="38">
        <f t="shared" si="0"/>
        <v>18985.6969619738</v>
      </c>
      <c r="F29" s="38">
        <f t="shared" si="1"/>
        <v>360728.242277501</v>
      </c>
    </row>
    <row r="30" spans="2:6">
      <c r="B30" s="38">
        <v>20</v>
      </c>
      <c r="C30" s="38">
        <v>0.04</v>
      </c>
      <c r="D30" s="38">
        <v>1040000</v>
      </c>
      <c r="E30" s="38">
        <f t="shared" si="0"/>
        <v>474642.424049344</v>
      </c>
      <c r="F30" s="38">
        <f t="shared" si="1"/>
        <v>9492848.48098688</v>
      </c>
    </row>
    <row r="31" spans="2:6">
      <c r="C31" t="s">
        <v>12</v>
      </c>
      <c r="D31" s="39">
        <f>F31/E31</f>
        <v>14.1339393987664</v>
      </c>
      <c r="E31" s="38">
        <f>SUM(E11:E30)</f>
        <v>1000000</v>
      </c>
      <c r="F31">
        <f>SUM(F11:F30)</f>
        <v>14133939.3987664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"/>
  <sheetViews>
    <sheetView tabSelected="1" topLeftCell="A77" workbookViewId="0">
      <selection activeCell="B35" sqref="B35"/>
    </sheetView>
  </sheetViews>
  <sheetFormatPr defaultColWidth="9" defaultRowHeight="14.4"/>
  <cols>
    <col min="1" max="1" width="33.4444444444444" style="1" customWidth="1"/>
    <col min="2" max="2" width="17.6666666666667" style="1" customWidth="1"/>
    <col min="3" max="5" width="12.6666666666667" style="1" customWidth="1"/>
    <col min="6" max="6" width="14.4444444444444" style="1" customWidth="1"/>
    <col min="7" max="8" width="6.55555555555556" style="1" customWidth="1"/>
    <col min="9" max="13" width="12.6666666666667" style="1" customWidth="1"/>
    <col min="14" max="16384" width="8.88888888888889" style="1"/>
  </cols>
  <sheetData>
    <row r="1" ht="17.4" spans="1:15">
      <c r="A1" s="2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ht="15.6" spans="1:15">
      <c r="A3" s="4" t="s">
        <v>14</v>
      </c>
      <c r="B3" s="5"/>
    </row>
    <row r="4" spans="1:15">
      <c r="A4" s="6" t="s">
        <v>15</v>
      </c>
      <c r="B4" s="7">
        <v>0.08</v>
      </c>
    </row>
    <row r="5" spans="1:15">
      <c r="A5" s="6" t="s">
        <v>16</v>
      </c>
      <c r="B5" s="8">
        <v>2</v>
      </c>
    </row>
    <row r="6" spans="1:15">
      <c r="A6" s="6" t="s">
        <v>17</v>
      </c>
      <c r="B6" s="8">
        <v>10</v>
      </c>
    </row>
    <row r="7" spans="1:15">
      <c r="A7" s="6" t="s">
        <v>18</v>
      </c>
      <c r="B7" s="9">
        <v>1000000</v>
      </c>
    </row>
    <row r="8" spans="1:15">
      <c r="A8" s="6" t="s">
        <v>19</v>
      </c>
      <c r="B8" s="10">
        <f>$B$7*$B$4/$B$5</f>
        <v>40000</v>
      </c>
    </row>
    <row r="9" spans="1:15">
      <c r="A9" s="6" t="s">
        <v>20</v>
      </c>
      <c r="B9" s="11">
        <v>0.0001</v>
      </c>
    </row>
    <row r="11" ht="15.6" spans="1:15">
      <c r="A11" s="4" t="s">
        <v>21</v>
      </c>
      <c r="B11" s="5"/>
      <c r="C11" s="5"/>
      <c r="D11" s="5"/>
    </row>
    <row r="12" spans="1:15">
      <c r="A12" s="12" t="s">
        <v>22</v>
      </c>
      <c r="B12" s="12" t="s">
        <v>23</v>
      </c>
    </row>
    <row r="13" spans="1:15">
      <c r="A13" s="13">
        <v>3.5</v>
      </c>
      <c r="B13" s="11">
        <v>0.0221</v>
      </c>
    </row>
    <row r="14" spans="1:15">
      <c r="A14" s="13">
        <v>4.5</v>
      </c>
      <c r="B14" s="11">
        <v>0.0141</v>
      </c>
    </row>
    <row r="15" spans="1:15">
      <c r="A15" s="13">
        <v>5.5</v>
      </c>
      <c r="B15" s="11">
        <v>0.0061</v>
      </c>
    </row>
    <row r="17" spans="1:6">
      <c r="A17" s="6" t="s">
        <v>24</v>
      </c>
      <c r="B17" s="14">
        <f>(B14-B13)/(A14-A13)</f>
        <v>-0.008</v>
      </c>
    </row>
    <row r="18" spans="1:6">
      <c r="A18" s="6" t="s">
        <v>25</v>
      </c>
      <c r="B18" s="14">
        <f>B13-$B$17*A13</f>
        <v>0.0501</v>
      </c>
    </row>
    <row r="19" spans="1:6">
      <c r="A19" s="6" t="s">
        <v>26</v>
      </c>
      <c r="B19" s="15">
        <f>$B$18+$B$17*A15</f>
        <v>0.00609999999999999</v>
      </c>
    </row>
    <row r="20" spans="1:6">
      <c r="A20" s="6" t="s">
        <v>27</v>
      </c>
      <c r="B20" s="16" t="s">
        <v>28</v>
      </c>
      <c r="C20" s="17"/>
      <c r="D20" s="17"/>
    </row>
    <row r="22" ht="15.6" spans="1:6">
      <c r="A22" s="4" t="s">
        <v>29</v>
      </c>
      <c r="B22" s="5"/>
      <c r="C22" s="5"/>
    </row>
    <row r="23" spans="1:6">
      <c r="A23" s="12" t="s">
        <v>22</v>
      </c>
      <c r="B23" s="12" t="s">
        <v>30</v>
      </c>
    </row>
    <row r="24" spans="1:6">
      <c r="A24" s="18">
        <v>1</v>
      </c>
      <c r="B24" s="15">
        <f>$B$18+$B$17*A24</f>
        <v>0.0421</v>
      </c>
    </row>
    <row r="25" spans="1:6">
      <c r="A25" s="18">
        <v>2</v>
      </c>
      <c r="B25" s="15">
        <f>$B$18+$B$17*A25</f>
        <v>0.0341</v>
      </c>
    </row>
    <row r="26" spans="1:6">
      <c r="A26" s="18">
        <v>3</v>
      </c>
      <c r="B26" s="15">
        <f>$B$18+$B$17*A26</f>
        <v>0.0261</v>
      </c>
    </row>
    <row r="27" spans="1:6">
      <c r="A27" s="18">
        <v>4</v>
      </c>
      <c r="B27" s="15">
        <f>$B$18+$B$17*A27</f>
        <v>0.0181</v>
      </c>
    </row>
    <row r="28" spans="1:6">
      <c r="A28" s="18">
        <v>5</v>
      </c>
      <c r="B28" s="15">
        <f>$B$18+$B$17*A28</f>
        <v>0.0101</v>
      </c>
    </row>
    <row r="31" ht="15.6" spans="1:6">
      <c r="A31" s="4" t="s">
        <v>31</v>
      </c>
      <c r="B31" s="5"/>
      <c r="C31" s="5"/>
      <c r="D31" s="5"/>
      <c r="E31" s="5"/>
      <c r="F31" s="5"/>
    </row>
    <row r="32" ht="41.4" spans="1:6">
      <c r="A32" s="19" t="s">
        <v>32</v>
      </c>
      <c r="B32" s="19" t="s">
        <v>33</v>
      </c>
      <c r="C32" s="19" t="s">
        <v>34</v>
      </c>
      <c r="D32" s="19" t="s">
        <v>35</v>
      </c>
      <c r="E32" s="19" t="s">
        <v>36</v>
      </c>
      <c r="F32" s="19" t="s">
        <v>37</v>
      </c>
    </row>
    <row r="33" spans="1:6">
      <c r="A33" s="20">
        <v>0.5</v>
      </c>
      <c r="B33" s="15">
        <f t="shared" ref="B33:B52" si="0">$B$18+$B$17*A33</f>
        <v>0.0461</v>
      </c>
      <c r="C33" s="21">
        <f t="shared" ref="C33:C52" si="1">(1+B33)^(-A33)</f>
        <v>0.977717523265611</v>
      </c>
      <c r="D33" s="10">
        <f t="shared" ref="D33:D51" si="2">$B$8</f>
        <v>40000</v>
      </c>
      <c r="E33" s="10">
        <f t="shared" ref="E33:E52" si="3">D33*C33</f>
        <v>39108.7009306244</v>
      </c>
      <c r="F33" s="10">
        <f t="shared" ref="F33:F52" si="4">E33*A33</f>
        <v>19554.3504653122</v>
      </c>
    </row>
    <row r="34" spans="1:6">
      <c r="A34" s="20">
        <v>1</v>
      </c>
      <c r="B34" s="15">
        <f t="shared" si="0"/>
        <v>0.0421</v>
      </c>
      <c r="C34" s="21">
        <f t="shared" si="1"/>
        <v>0.959600806064677</v>
      </c>
      <c r="D34" s="10">
        <f t="shared" si="2"/>
        <v>40000</v>
      </c>
      <c r="E34" s="10">
        <f t="shared" si="3"/>
        <v>38384.0322425871</v>
      </c>
      <c r="F34" s="10">
        <f t="shared" si="4"/>
        <v>38384.0322425871</v>
      </c>
    </row>
    <row r="35" spans="1:6">
      <c r="A35" s="20">
        <v>1.5</v>
      </c>
      <c r="B35" s="15">
        <f t="shared" si="0"/>
        <v>0.0381</v>
      </c>
      <c r="C35" s="21">
        <f t="shared" si="1"/>
        <v>0.945455763035755</v>
      </c>
      <c r="D35" s="10">
        <f t="shared" si="2"/>
        <v>40000</v>
      </c>
      <c r="E35" s="10">
        <f t="shared" si="3"/>
        <v>37818.2305214302</v>
      </c>
      <c r="F35" s="10">
        <f t="shared" si="4"/>
        <v>56727.3457821453</v>
      </c>
    </row>
    <row r="36" spans="1:6">
      <c r="A36" s="20">
        <v>2</v>
      </c>
      <c r="B36" s="15">
        <f t="shared" si="0"/>
        <v>0.0341</v>
      </c>
      <c r="C36" s="21">
        <f t="shared" si="1"/>
        <v>0.935136317299084</v>
      </c>
      <c r="D36" s="10">
        <f t="shared" si="2"/>
        <v>40000</v>
      </c>
      <c r="E36" s="10">
        <f t="shared" si="3"/>
        <v>37405.4526919634</v>
      </c>
      <c r="F36" s="10">
        <f t="shared" si="4"/>
        <v>74810.9053839267</v>
      </c>
    </row>
    <row r="37" spans="1:6">
      <c r="A37" s="20">
        <v>2.5</v>
      </c>
      <c r="B37" s="15">
        <f t="shared" si="0"/>
        <v>0.0301</v>
      </c>
      <c r="C37" s="21">
        <f t="shared" si="1"/>
        <v>0.928541956075182</v>
      </c>
      <c r="D37" s="10">
        <f t="shared" si="2"/>
        <v>40000</v>
      </c>
      <c r="E37" s="10">
        <f t="shared" si="3"/>
        <v>37141.6782430073</v>
      </c>
      <c r="F37" s="10">
        <f t="shared" si="4"/>
        <v>92854.1956075182</v>
      </c>
    </row>
    <row r="38" spans="1:6">
      <c r="A38" s="20">
        <v>3</v>
      </c>
      <c r="B38" s="15">
        <f t="shared" si="0"/>
        <v>0.0261</v>
      </c>
      <c r="C38" s="21">
        <f t="shared" si="1"/>
        <v>0.925616179115314</v>
      </c>
      <c r="D38" s="10">
        <f t="shared" si="2"/>
        <v>40000</v>
      </c>
      <c r="E38" s="10">
        <f t="shared" si="3"/>
        <v>37024.6471646126</v>
      </c>
      <c r="F38" s="10">
        <f t="shared" si="4"/>
        <v>111073.941493838</v>
      </c>
    </row>
    <row r="39" spans="1:6">
      <c r="A39" s="20">
        <v>3.5</v>
      </c>
      <c r="B39" s="15">
        <f t="shared" si="0"/>
        <v>0.0221</v>
      </c>
      <c r="C39" s="21">
        <f t="shared" si="1"/>
        <v>0.926345808971408</v>
      </c>
      <c r="D39" s="10">
        <f t="shared" si="2"/>
        <v>40000</v>
      </c>
      <c r="E39" s="10">
        <f t="shared" si="3"/>
        <v>37053.8323588563</v>
      </c>
      <c r="F39" s="10">
        <f t="shared" si="4"/>
        <v>129688.413255997</v>
      </c>
    </row>
    <row r="40" spans="1:6">
      <c r="A40" s="20">
        <v>4</v>
      </c>
      <c r="B40" s="15">
        <f t="shared" si="0"/>
        <v>0.0181</v>
      </c>
      <c r="C40" s="21">
        <f t="shared" si="1"/>
        <v>0.930761155762024</v>
      </c>
      <c r="D40" s="10">
        <f t="shared" si="2"/>
        <v>40000</v>
      </c>
      <c r="E40" s="10">
        <f t="shared" si="3"/>
        <v>37230.446230481</v>
      </c>
      <c r="F40" s="10">
        <f t="shared" si="4"/>
        <v>148921.784921924</v>
      </c>
    </row>
    <row r="41" spans="1:6">
      <c r="A41" s="20">
        <v>4.5</v>
      </c>
      <c r="B41" s="15">
        <f t="shared" si="0"/>
        <v>0.0141</v>
      </c>
      <c r="C41" s="21">
        <f t="shared" si="1"/>
        <v>0.938937052876504</v>
      </c>
      <c r="D41" s="10">
        <f t="shared" si="2"/>
        <v>40000</v>
      </c>
      <c r="E41" s="10">
        <f t="shared" si="3"/>
        <v>37557.4821150602</v>
      </c>
      <c r="F41" s="10">
        <f t="shared" si="4"/>
        <v>169008.669517771</v>
      </c>
    </row>
    <row r="42" spans="1:6">
      <c r="A42" s="20">
        <v>5</v>
      </c>
      <c r="B42" s="15">
        <f t="shared" si="0"/>
        <v>0.0101</v>
      </c>
      <c r="C42" s="21">
        <f t="shared" si="1"/>
        <v>0.950994804864515</v>
      </c>
      <c r="D42" s="10">
        <f t="shared" si="2"/>
        <v>40000</v>
      </c>
      <c r="E42" s="10">
        <f t="shared" si="3"/>
        <v>38039.7921945806</v>
      </c>
      <c r="F42" s="10">
        <f t="shared" si="4"/>
        <v>190198.960972903</v>
      </c>
    </row>
    <row r="43" spans="1:6">
      <c r="A43" s="20">
        <v>5.5</v>
      </c>
      <c r="B43" s="15">
        <f t="shared" si="0"/>
        <v>0.00609999999999999</v>
      </c>
      <c r="C43" s="21">
        <f t="shared" si="1"/>
        <v>0.967105115510203</v>
      </c>
      <c r="D43" s="10">
        <f t="shared" si="2"/>
        <v>40000</v>
      </c>
      <c r="E43" s="10">
        <f t="shared" si="3"/>
        <v>38684.2046204081</v>
      </c>
      <c r="F43" s="10">
        <f t="shared" si="4"/>
        <v>212763.125412245</v>
      </c>
    </row>
    <row r="44" spans="1:6">
      <c r="A44" s="20">
        <v>6</v>
      </c>
      <c r="B44" s="15">
        <f t="shared" si="0"/>
        <v>0.00209999999999999</v>
      </c>
      <c r="C44" s="21">
        <f t="shared" si="1"/>
        <v>0.987492093824208</v>
      </c>
      <c r="D44" s="10">
        <f t="shared" si="2"/>
        <v>40000</v>
      </c>
      <c r="E44" s="10">
        <f t="shared" si="3"/>
        <v>39499.6837529683</v>
      </c>
      <c r="F44" s="10">
        <f t="shared" si="4"/>
        <v>236998.10251781</v>
      </c>
    </row>
    <row r="45" spans="1:6">
      <c r="A45" s="20">
        <v>6.5</v>
      </c>
      <c r="B45" s="15">
        <f t="shared" si="0"/>
        <v>-0.00190000000000001</v>
      </c>
      <c r="C45" s="21">
        <f t="shared" si="1"/>
        <v>1.01243846959582</v>
      </c>
      <c r="D45" s="10">
        <f t="shared" si="2"/>
        <v>40000</v>
      </c>
      <c r="E45" s="10">
        <f t="shared" si="3"/>
        <v>40497.5387838327</v>
      </c>
      <c r="F45" s="10">
        <f t="shared" si="4"/>
        <v>263234.002094913</v>
      </c>
    </row>
    <row r="46" spans="1:6">
      <c r="A46" s="20">
        <v>7</v>
      </c>
      <c r="B46" s="15">
        <f t="shared" si="0"/>
        <v>-0.00590000000000001</v>
      </c>
      <c r="C46" s="21">
        <f t="shared" si="1"/>
        <v>1.04229218964294</v>
      </c>
      <c r="D46" s="10">
        <f t="shared" si="2"/>
        <v>40000</v>
      </c>
      <c r="E46" s="10">
        <f t="shared" si="3"/>
        <v>41691.6875857175</v>
      </c>
      <c r="F46" s="10">
        <f t="shared" si="4"/>
        <v>291841.813100022</v>
      </c>
    </row>
    <row r="47" spans="1:6">
      <c r="A47" s="20">
        <v>7.5</v>
      </c>
      <c r="B47" s="15">
        <f t="shared" si="0"/>
        <v>-0.00990000000000001</v>
      </c>
      <c r="C47" s="21">
        <f t="shared" si="1"/>
        <v>1.07747461268235</v>
      </c>
      <c r="D47" s="10">
        <f t="shared" si="2"/>
        <v>40000</v>
      </c>
      <c r="E47" s="10">
        <f t="shared" si="3"/>
        <v>43098.9845072941</v>
      </c>
      <c r="F47" s="10">
        <f t="shared" si="4"/>
        <v>323242.383804706</v>
      </c>
    </row>
    <row r="48" spans="1:6">
      <c r="A48" s="20">
        <v>8</v>
      </c>
      <c r="B48" s="15">
        <f t="shared" si="0"/>
        <v>-0.0139</v>
      </c>
      <c r="C48" s="21">
        <f t="shared" si="1"/>
        <v>1.11849057690401</v>
      </c>
      <c r="D48" s="10">
        <f t="shared" si="2"/>
        <v>40000</v>
      </c>
      <c r="E48" s="10">
        <f t="shared" si="3"/>
        <v>44739.6230761602</v>
      </c>
      <c r="F48" s="10">
        <f t="shared" si="4"/>
        <v>357916.984609282</v>
      </c>
    </row>
    <row r="49" spans="1:15">
      <c r="A49" s="20">
        <v>8.5</v>
      </c>
      <c r="B49" s="15">
        <f t="shared" si="0"/>
        <v>-0.0179</v>
      </c>
      <c r="C49" s="21">
        <f t="shared" si="1"/>
        <v>1.16594068245772</v>
      </c>
      <c r="D49" s="10">
        <f t="shared" si="2"/>
        <v>40000</v>
      </c>
      <c r="E49" s="10">
        <f t="shared" si="3"/>
        <v>46637.6272983088</v>
      </c>
      <c r="F49" s="10">
        <f t="shared" si="4"/>
        <v>396419.832035625</v>
      </c>
    </row>
    <row r="50" spans="1:15">
      <c r="A50" s="20">
        <v>9</v>
      </c>
      <c r="B50" s="15">
        <f t="shared" si="0"/>
        <v>-0.0219</v>
      </c>
      <c r="C50" s="21">
        <f t="shared" si="1"/>
        <v>1.22053621438373</v>
      </c>
      <c r="D50" s="10">
        <f t="shared" si="2"/>
        <v>40000</v>
      </c>
      <c r="E50" s="10">
        <f t="shared" si="3"/>
        <v>48821.448575349</v>
      </c>
      <c r="F50" s="10">
        <f t="shared" si="4"/>
        <v>439393.037178141</v>
      </c>
    </row>
    <row r="51" spans="1:15">
      <c r="A51" s="20">
        <v>9.5</v>
      </c>
      <c r="B51" s="15">
        <f t="shared" si="0"/>
        <v>-0.0259</v>
      </c>
      <c r="C51" s="21">
        <f t="shared" si="1"/>
        <v>1.28311723411294</v>
      </c>
      <c r="D51" s="10">
        <f t="shared" si="2"/>
        <v>40000</v>
      </c>
      <c r="E51" s="10">
        <f t="shared" si="3"/>
        <v>51324.6893645175</v>
      </c>
      <c r="F51" s="10">
        <f t="shared" si="4"/>
        <v>487584.548962916</v>
      </c>
    </row>
    <row r="52" spans="1:15">
      <c r="A52" s="20">
        <v>10</v>
      </c>
      <c r="B52" s="15">
        <f t="shared" si="0"/>
        <v>-0.0299</v>
      </c>
      <c r="C52" s="21">
        <f t="shared" si="1"/>
        <v>1.35467449468605</v>
      </c>
      <c r="D52" s="10">
        <f>$B$8+$B$7</f>
        <v>1040000</v>
      </c>
      <c r="E52" s="10">
        <f t="shared" si="3"/>
        <v>1408861.47447349</v>
      </c>
      <c r="F52" s="10">
        <f t="shared" si="4"/>
        <v>14088614.7447349</v>
      </c>
    </row>
    <row r="53" spans="1:15">
      <c r="A53" s="22" t="s">
        <v>38</v>
      </c>
      <c r="B53" s="23"/>
      <c r="C53" s="23"/>
      <c r="D53" s="24"/>
      <c r="E53" s="25">
        <f>SUM(E33:E52)</f>
        <v>2180621.25673125</v>
      </c>
      <c r="F53" s="25">
        <f>SUM(F33:F52)</f>
        <v>18129231.1740945</v>
      </c>
    </row>
    <row r="54" spans="1:15">
      <c r="A54" s="26" t="s">
        <v>39</v>
      </c>
      <c r="B54" s="27"/>
      <c r="C54" s="27"/>
      <c r="D54" s="28"/>
      <c r="E54" s="29">
        <f>$F$53/$E$53</f>
        <v>8.31379182337707</v>
      </c>
    </row>
    <row r="56" ht="15.6" spans="1:15">
      <c r="A56" s="4" t="s">
        <v>40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G57" s="30" t="s">
        <v>41</v>
      </c>
      <c r="H57" s="31"/>
      <c r="I57" s="31"/>
      <c r="J57" s="31"/>
      <c r="K57" s="31"/>
      <c r="L57" s="31"/>
      <c r="M57" s="31"/>
      <c r="N57" s="31"/>
      <c r="O57" s="31"/>
    </row>
    <row r="58" ht="27.6" spans="1:15">
      <c r="A58" s="19" t="s">
        <v>32</v>
      </c>
      <c r="B58" s="19" t="s">
        <v>42</v>
      </c>
      <c r="C58" s="19" t="s">
        <v>43</v>
      </c>
      <c r="D58" s="19" t="s">
        <v>44</v>
      </c>
      <c r="E58" s="19" t="s">
        <v>45</v>
      </c>
      <c r="F58" s="19" t="s">
        <v>46</v>
      </c>
      <c r="G58" s="19" t="s">
        <v>47</v>
      </c>
      <c r="H58" s="19" t="s">
        <v>48</v>
      </c>
      <c r="I58" s="19" t="s">
        <v>49</v>
      </c>
      <c r="J58" s="19" t="s">
        <v>50</v>
      </c>
      <c r="K58" s="19" t="s">
        <v>51</v>
      </c>
      <c r="L58" s="19" t="s">
        <v>52</v>
      </c>
      <c r="M58" s="19" t="s">
        <v>53</v>
      </c>
    </row>
    <row r="59" spans="1:15">
      <c r="A59" s="20">
        <v>0.5</v>
      </c>
      <c r="B59" s="15">
        <f t="shared" ref="B59:B78" si="5">$B$18+$B$17*A59</f>
        <v>0.0461</v>
      </c>
      <c r="C59" s="10">
        <f t="shared" ref="C59:C77" si="6">$B$8</f>
        <v>40000</v>
      </c>
      <c r="D59" s="29">
        <f t="shared" ref="D59:D78" si="7">IF(A59&lt;=1,1,IF(A59&lt;=2,2-A59,0))</f>
        <v>1</v>
      </c>
      <c r="E59" s="29">
        <f t="shared" ref="E59:E78" si="8">IF(AND(A59&gt;=1,A59&lt;=2),A59-1,IF(AND(A59&gt;2,A59&lt;=3),3-A59,0))</f>
        <v>0</v>
      </c>
      <c r="F59" s="29">
        <f t="shared" ref="F59:F78" si="9">IF(AND(A59&gt;=2,A59&lt;=3),A59-2,IF(AND(A59&gt;3,A59&lt;=4),4-A59,0))</f>
        <v>0</v>
      </c>
      <c r="G59" s="29">
        <f t="shared" ref="G59:G78" si="10">IF(AND(A59&gt;=3,A59&lt;=4),A59-3,IF(AND(A59&gt;4,A59&lt;=5),5-A59,0))</f>
        <v>0</v>
      </c>
      <c r="H59" s="29">
        <f t="shared" ref="H59:H78" si="11">IF(A59&lt;4,0,IF(A59&lt;=5,A59-4,1))</f>
        <v>0</v>
      </c>
      <c r="I59" s="10">
        <f t="shared" ref="I59:I78" si="12">$C59*(1+($B59+D59*$B$9))^(-$A59)</f>
        <v>39106.8318025649</v>
      </c>
      <c r="J59" s="10">
        <f t="shared" ref="J59:J78" si="13">$C59*(1+($B59+E59*$B$9))^(-$A59)</f>
        <v>39108.7009306244</v>
      </c>
      <c r="K59" s="10">
        <f t="shared" ref="K59:K78" si="14">$C59*(1+($B59+F59*$B$9))^(-$A59)</f>
        <v>39108.7009306244</v>
      </c>
      <c r="L59" s="10">
        <f t="shared" ref="L59:L78" si="15">$C59*(1+($B59+G59*$B$9))^(-$A59)</f>
        <v>39108.7009306244</v>
      </c>
      <c r="M59" s="10">
        <f t="shared" ref="M59:M78" si="16">$C59*(1+($B59+H59*$B$9))^(-$A59)</f>
        <v>39108.7009306244</v>
      </c>
    </row>
    <row r="60" spans="1:15">
      <c r="A60" s="20">
        <v>1</v>
      </c>
      <c r="B60" s="15">
        <f t="shared" si="5"/>
        <v>0.0421</v>
      </c>
      <c r="C60" s="10">
        <f t="shared" si="6"/>
        <v>40000</v>
      </c>
      <c r="D60" s="29">
        <f t="shared" si="7"/>
        <v>1</v>
      </c>
      <c r="E60" s="29">
        <f t="shared" si="8"/>
        <v>0</v>
      </c>
      <c r="F60" s="29">
        <f t="shared" si="9"/>
        <v>0</v>
      </c>
      <c r="G60" s="29">
        <f t="shared" si="10"/>
        <v>0</v>
      </c>
      <c r="H60" s="29">
        <f t="shared" si="11"/>
        <v>0</v>
      </c>
      <c r="I60" s="10">
        <f t="shared" si="12"/>
        <v>38380.3492611783</v>
      </c>
      <c r="J60" s="10">
        <f t="shared" si="13"/>
        <v>38384.0322425871</v>
      </c>
      <c r="K60" s="10">
        <f t="shared" si="14"/>
        <v>38384.0322425871</v>
      </c>
      <c r="L60" s="10">
        <f t="shared" si="15"/>
        <v>38384.0322425871</v>
      </c>
      <c r="M60" s="10">
        <f t="shared" si="16"/>
        <v>38384.0322425871</v>
      </c>
    </row>
    <row r="61" spans="1:15">
      <c r="A61" s="20">
        <v>1.5</v>
      </c>
      <c r="B61" s="15">
        <f t="shared" si="5"/>
        <v>0.0381</v>
      </c>
      <c r="C61" s="10">
        <f t="shared" si="6"/>
        <v>40000</v>
      </c>
      <c r="D61" s="29">
        <f t="shared" si="7"/>
        <v>0.5</v>
      </c>
      <c r="E61" s="29">
        <f t="shared" si="8"/>
        <v>0.5</v>
      </c>
      <c r="F61" s="29">
        <f t="shared" si="9"/>
        <v>0</v>
      </c>
      <c r="G61" s="29">
        <f t="shared" si="10"/>
        <v>0</v>
      </c>
      <c r="H61" s="29">
        <f t="shared" si="11"/>
        <v>0</v>
      </c>
      <c r="I61" s="10">
        <f t="shared" si="12"/>
        <v>37815.4984180375</v>
      </c>
      <c r="J61" s="10">
        <f t="shared" si="13"/>
        <v>37815.4984180375</v>
      </c>
      <c r="K61" s="10">
        <f t="shared" si="14"/>
        <v>37818.2305214302</v>
      </c>
      <c r="L61" s="10">
        <f t="shared" si="15"/>
        <v>37818.2305214302</v>
      </c>
      <c r="M61" s="10">
        <f t="shared" si="16"/>
        <v>37818.2305214302</v>
      </c>
    </row>
    <row r="62" spans="1:15">
      <c r="A62" s="20">
        <v>2</v>
      </c>
      <c r="B62" s="15">
        <f t="shared" si="5"/>
        <v>0.0341</v>
      </c>
      <c r="C62" s="10">
        <f t="shared" si="6"/>
        <v>40000</v>
      </c>
      <c r="D62" s="29">
        <f t="shared" si="7"/>
        <v>0</v>
      </c>
      <c r="E62" s="29">
        <f t="shared" si="8"/>
        <v>1</v>
      </c>
      <c r="F62" s="29">
        <f t="shared" si="9"/>
        <v>0</v>
      </c>
      <c r="G62" s="29">
        <f t="shared" si="10"/>
        <v>0</v>
      </c>
      <c r="H62" s="29">
        <f t="shared" si="11"/>
        <v>0</v>
      </c>
      <c r="I62" s="10">
        <f t="shared" si="12"/>
        <v>37405.4526919634</v>
      </c>
      <c r="J62" s="10">
        <f t="shared" si="13"/>
        <v>37398.2193436231</v>
      </c>
      <c r="K62" s="10">
        <f t="shared" si="14"/>
        <v>37405.4526919634</v>
      </c>
      <c r="L62" s="10">
        <f t="shared" si="15"/>
        <v>37405.4526919634</v>
      </c>
      <c r="M62" s="10">
        <f t="shared" si="16"/>
        <v>37405.4526919634</v>
      </c>
    </row>
    <row r="63" spans="1:15">
      <c r="A63" s="20">
        <v>2.5</v>
      </c>
      <c r="B63" s="15">
        <f t="shared" si="5"/>
        <v>0.0301</v>
      </c>
      <c r="C63" s="10">
        <f t="shared" si="6"/>
        <v>40000</v>
      </c>
      <c r="D63" s="29">
        <f t="shared" si="7"/>
        <v>0</v>
      </c>
      <c r="E63" s="29">
        <f t="shared" si="8"/>
        <v>0.5</v>
      </c>
      <c r="F63" s="29">
        <f t="shared" si="9"/>
        <v>0.5</v>
      </c>
      <c r="G63" s="29">
        <f t="shared" si="10"/>
        <v>0</v>
      </c>
      <c r="H63" s="29">
        <f t="shared" si="11"/>
        <v>0</v>
      </c>
      <c r="I63" s="10">
        <f t="shared" si="12"/>
        <v>37141.6782430073</v>
      </c>
      <c r="J63" s="10">
        <f t="shared" si="13"/>
        <v>37137.1715781763</v>
      </c>
      <c r="K63" s="10">
        <f t="shared" si="14"/>
        <v>37137.1715781763</v>
      </c>
      <c r="L63" s="10">
        <f t="shared" si="15"/>
        <v>37141.6782430073</v>
      </c>
      <c r="M63" s="10">
        <f t="shared" si="16"/>
        <v>37141.6782430073</v>
      </c>
    </row>
    <row r="64" spans="1:15">
      <c r="A64" s="20">
        <v>3</v>
      </c>
      <c r="B64" s="15">
        <f t="shared" si="5"/>
        <v>0.0261</v>
      </c>
      <c r="C64" s="10">
        <f t="shared" si="6"/>
        <v>40000</v>
      </c>
      <c r="D64" s="29">
        <f t="shared" si="7"/>
        <v>0</v>
      </c>
      <c r="E64" s="29">
        <f t="shared" si="8"/>
        <v>0</v>
      </c>
      <c r="F64" s="29">
        <f t="shared" si="9"/>
        <v>1</v>
      </c>
      <c r="G64" s="29">
        <f t="shared" si="10"/>
        <v>0</v>
      </c>
      <c r="H64" s="29">
        <f t="shared" si="11"/>
        <v>0</v>
      </c>
      <c r="I64" s="10">
        <f t="shared" si="12"/>
        <v>37024.6471646126</v>
      </c>
      <c r="J64" s="10">
        <f t="shared" si="13"/>
        <v>37024.6471646126</v>
      </c>
      <c r="K64" s="10">
        <f t="shared" si="14"/>
        <v>37013.8244090059</v>
      </c>
      <c r="L64" s="10">
        <f t="shared" si="15"/>
        <v>37024.6471646126</v>
      </c>
      <c r="M64" s="10">
        <f t="shared" si="16"/>
        <v>37024.6471646126</v>
      </c>
    </row>
    <row r="65" spans="1:13">
      <c r="A65" s="20">
        <v>3.5</v>
      </c>
      <c r="B65" s="15">
        <f t="shared" si="5"/>
        <v>0.0221</v>
      </c>
      <c r="C65" s="10">
        <f t="shared" si="6"/>
        <v>40000</v>
      </c>
      <c r="D65" s="29">
        <f t="shared" si="7"/>
        <v>0</v>
      </c>
      <c r="E65" s="29">
        <f t="shared" si="8"/>
        <v>0</v>
      </c>
      <c r="F65" s="29">
        <f t="shared" si="9"/>
        <v>0.5</v>
      </c>
      <c r="G65" s="29">
        <f t="shared" si="10"/>
        <v>0.5</v>
      </c>
      <c r="H65" s="29">
        <f t="shared" si="11"/>
        <v>0</v>
      </c>
      <c r="I65" s="10">
        <f t="shared" si="12"/>
        <v>37053.8323588563</v>
      </c>
      <c r="J65" s="10">
        <f t="shared" si="13"/>
        <v>37053.8323588563</v>
      </c>
      <c r="K65" s="10">
        <f t="shared" si="14"/>
        <v>37047.488843542</v>
      </c>
      <c r="L65" s="10">
        <f t="shared" si="15"/>
        <v>37047.488843542</v>
      </c>
      <c r="M65" s="10">
        <f t="shared" si="16"/>
        <v>37053.8323588563</v>
      </c>
    </row>
    <row r="66" spans="1:13">
      <c r="A66" s="20">
        <v>4</v>
      </c>
      <c r="B66" s="15">
        <f t="shared" si="5"/>
        <v>0.0181</v>
      </c>
      <c r="C66" s="10">
        <f t="shared" si="6"/>
        <v>40000</v>
      </c>
      <c r="D66" s="29">
        <f t="shared" si="7"/>
        <v>0</v>
      </c>
      <c r="E66" s="29">
        <f t="shared" si="8"/>
        <v>0</v>
      </c>
      <c r="F66" s="29">
        <f t="shared" si="9"/>
        <v>0</v>
      </c>
      <c r="G66" s="29">
        <f t="shared" si="10"/>
        <v>1</v>
      </c>
      <c r="H66" s="29">
        <f t="shared" si="11"/>
        <v>0</v>
      </c>
      <c r="I66" s="10">
        <f t="shared" si="12"/>
        <v>37230.446230481</v>
      </c>
      <c r="J66" s="10">
        <f t="shared" si="13"/>
        <v>37230.446230481</v>
      </c>
      <c r="K66" s="10">
        <f t="shared" si="14"/>
        <v>37230.446230481</v>
      </c>
      <c r="L66" s="10">
        <f t="shared" si="15"/>
        <v>37215.8223994674</v>
      </c>
      <c r="M66" s="10">
        <f t="shared" si="16"/>
        <v>37230.446230481</v>
      </c>
    </row>
    <row r="67" spans="1:13">
      <c r="A67" s="20">
        <v>4.5</v>
      </c>
      <c r="B67" s="15">
        <f t="shared" si="5"/>
        <v>0.0141</v>
      </c>
      <c r="C67" s="10">
        <f t="shared" si="6"/>
        <v>40000</v>
      </c>
      <c r="D67" s="29">
        <f t="shared" si="7"/>
        <v>0</v>
      </c>
      <c r="E67" s="29">
        <f t="shared" si="8"/>
        <v>0</v>
      </c>
      <c r="F67" s="29">
        <f t="shared" si="9"/>
        <v>0</v>
      </c>
      <c r="G67" s="29">
        <f t="shared" si="10"/>
        <v>0.5</v>
      </c>
      <c r="H67" s="29">
        <f t="shared" si="11"/>
        <v>0.5</v>
      </c>
      <c r="I67" s="10">
        <f t="shared" si="12"/>
        <v>37557.4821150602</v>
      </c>
      <c r="J67" s="10">
        <f t="shared" si="13"/>
        <v>37557.4821150602</v>
      </c>
      <c r="K67" s="10">
        <f t="shared" si="14"/>
        <v>37557.4821150602</v>
      </c>
      <c r="L67" s="10">
        <f t="shared" si="15"/>
        <v>37549.1503057523</v>
      </c>
      <c r="M67" s="10">
        <f t="shared" si="16"/>
        <v>37549.1503057523</v>
      </c>
    </row>
    <row r="68" spans="1:13">
      <c r="A68" s="20">
        <v>5</v>
      </c>
      <c r="B68" s="15">
        <f t="shared" si="5"/>
        <v>0.0101</v>
      </c>
      <c r="C68" s="10">
        <f t="shared" si="6"/>
        <v>40000</v>
      </c>
      <c r="D68" s="29">
        <f t="shared" si="7"/>
        <v>0</v>
      </c>
      <c r="E68" s="29">
        <f t="shared" si="8"/>
        <v>0</v>
      </c>
      <c r="F68" s="29">
        <f t="shared" si="9"/>
        <v>0</v>
      </c>
      <c r="G68" s="29">
        <f t="shared" si="10"/>
        <v>0</v>
      </c>
      <c r="H68" s="29">
        <f t="shared" si="11"/>
        <v>1</v>
      </c>
      <c r="I68" s="10">
        <f t="shared" si="12"/>
        <v>38039.7921945806</v>
      </c>
      <c r="J68" s="10">
        <f t="shared" si="13"/>
        <v>38039.7921945806</v>
      </c>
      <c r="K68" s="10">
        <f t="shared" si="14"/>
        <v>38039.7921945806</v>
      </c>
      <c r="L68" s="10">
        <f t="shared" si="15"/>
        <v>38039.7921945806</v>
      </c>
      <c r="M68" s="10">
        <f t="shared" si="16"/>
        <v>38020.9680697542</v>
      </c>
    </row>
    <row r="69" spans="1:13">
      <c r="A69" s="20">
        <v>5.5</v>
      </c>
      <c r="B69" s="15">
        <f t="shared" si="5"/>
        <v>0.00609999999999999</v>
      </c>
      <c r="C69" s="10">
        <f t="shared" si="6"/>
        <v>40000</v>
      </c>
      <c r="D69" s="29">
        <f t="shared" si="7"/>
        <v>0</v>
      </c>
      <c r="E69" s="29">
        <f t="shared" si="8"/>
        <v>0</v>
      </c>
      <c r="F69" s="29">
        <f t="shared" si="9"/>
        <v>0</v>
      </c>
      <c r="G69" s="29">
        <f t="shared" si="10"/>
        <v>0</v>
      </c>
      <c r="H69" s="29">
        <f t="shared" si="11"/>
        <v>1</v>
      </c>
      <c r="I69" s="10">
        <f t="shared" si="12"/>
        <v>38684.2046204081</v>
      </c>
      <c r="J69" s="10">
        <f t="shared" si="13"/>
        <v>38684.2046204081</v>
      </c>
      <c r="K69" s="10">
        <f t="shared" si="14"/>
        <v>38684.2046204081</v>
      </c>
      <c r="L69" s="10">
        <f t="shared" si="15"/>
        <v>38684.2046204081</v>
      </c>
      <c r="M69" s="10">
        <f t="shared" si="16"/>
        <v>38663.0641359914</v>
      </c>
    </row>
    <row r="70" spans="1:13">
      <c r="A70" s="20">
        <v>6</v>
      </c>
      <c r="B70" s="15">
        <f t="shared" si="5"/>
        <v>0.00209999999999999</v>
      </c>
      <c r="C70" s="10">
        <f t="shared" si="6"/>
        <v>40000</v>
      </c>
      <c r="D70" s="29">
        <f t="shared" si="7"/>
        <v>0</v>
      </c>
      <c r="E70" s="29">
        <f t="shared" si="8"/>
        <v>0</v>
      </c>
      <c r="F70" s="29">
        <f t="shared" si="9"/>
        <v>0</v>
      </c>
      <c r="G70" s="29">
        <f t="shared" si="10"/>
        <v>0</v>
      </c>
      <c r="H70" s="29">
        <f t="shared" si="11"/>
        <v>1</v>
      </c>
      <c r="I70" s="10">
        <f t="shared" si="12"/>
        <v>39499.6837529683</v>
      </c>
      <c r="J70" s="10">
        <f t="shared" si="13"/>
        <v>39499.6837529683</v>
      </c>
      <c r="K70" s="10">
        <f t="shared" si="14"/>
        <v>39499.6837529683</v>
      </c>
      <c r="L70" s="10">
        <f t="shared" si="15"/>
        <v>39499.6837529683</v>
      </c>
      <c r="M70" s="10">
        <f t="shared" si="16"/>
        <v>39476.0418660276</v>
      </c>
    </row>
    <row r="71" spans="1:13">
      <c r="A71" s="20">
        <v>6.5</v>
      </c>
      <c r="B71" s="15">
        <f t="shared" si="5"/>
        <v>-0.00190000000000001</v>
      </c>
      <c r="C71" s="10">
        <f t="shared" si="6"/>
        <v>40000</v>
      </c>
      <c r="D71" s="29">
        <f t="shared" si="7"/>
        <v>0</v>
      </c>
      <c r="E71" s="29">
        <f t="shared" si="8"/>
        <v>0</v>
      </c>
      <c r="F71" s="29">
        <f t="shared" si="9"/>
        <v>0</v>
      </c>
      <c r="G71" s="29">
        <f t="shared" si="10"/>
        <v>0</v>
      </c>
      <c r="H71" s="29">
        <f t="shared" si="11"/>
        <v>1</v>
      </c>
      <c r="I71" s="10">
        <f t="shared" si="12"/>
        <v>40497.5387838327</v>
      </c>
      <c r="J71" s="10">
        <f t="shared" si="13"/>
        <v>40497.5387838327</v>
      </c>
      <c r="K71" s="10">
        <f t="shared" si="14"/>
        <v>40497.5387838327</v>
      </c>
      <c r="L71" s="10">
        <f t="shared" si="15"/>
        <v>40497.5387838327</v>
      </c>
      <c r="M71" s="10">
        <f t="shared" si="16"/>
        <v>40471.1751800353</v>
      </c>
    </row>
    <row r="72" spans="1:13">
      <c r="A72" s="20">
        <v>7</v>
      </c>
      <c r="B72" s="15">
        <f t="shared" si="5"/>
        <v>-0.00590000000000001</v>
      </c>
      <c r="C72" s="10">
        <f t="shared" si="6"/>
        <v>40000</v>
      </c>
      <c r="D72" s="29">
        <f t="shared" si="7"/>
        <v>0</v>
      </c>
      <c r="E72" s="29">
        <f t="shared" si="8"/>
        <v>0</v>
      </c>
      <c r="F72" s="29">
        <f t="shared" si="9"/>
        <v>0</v>
      </c>
      <c r="G72" s="29">
        <f t="shared" si="10"/>
        <v>0</v>
      </c>
      <c r="H72" s="29">
        <f t="shared" si="11"/>
        <v>1</v>
      </c>
      <c r="I72" s="10">
        <f t="shared" si="12"/>
        <v>41691.6875857175</v>
      </c>
      <c r="J72" s="10">
        <f t="shared" si="13"/>
        <v>41691.6875857175</v>
      </c>
      <c r="K72" s="10">
        <f t="shared" si="14"/>
        <v>41691.6875857175</v>
      </c>
      <c r="L72" s="10">
        <f t="shared" si="15"/>
        <v>41691.6875857175</v>
      </c>
      <c r="M72" s="10">
        <f t="shared" si="16"/>
        <v>41662.3420048937</v>
      </c>
    </row>
    <row r="73" spans="1:13">
      <c r="A73" s="20">
        <v>7.5</v>
      </c>
      <c r="B73" s="15">
        <f t="shared" si="5"/>
        <v>-0.00990000000000001</v>
      </c>
      <c r="C73" s="10">
        <f t="shared" si="6"/>
        <v>40000</v>
      </c>
      <c r="D73" s="29">
        <f t="shared" si="7"/>
        <v>0</v>
      </c>
      <c r="E73" s="29">
        <f t="shared" si="8"/>
        <v>0</v>
      </c>
      <c r="F73" s="29">
        <f t="shared" si="9"/>
        <v>0</v>
      </c>
      <c r="G73" s="29">
        <f t="shared" si="10"/>
        <v>0</v>
      </c>
      <c r="H73" s="29">
        <f t="shared" si="11"/>
        <v>1</v>
      </c>
      <c r="I73" s="10">
        <f t="shared" si="12"/>
        <v>43098.9845072941</v>
      </c>
      <c r="J73" s="10">
        <f t="shared" si="13"/>
        <v>43098.9845072941</v>
      </c>
      <c r="K73" s="10">
        <f t="shared" si="14"/>
        <v>43098.9845072941</v>
      </c>
      <c r="L73" s="10">
        <f t="shared" si="15"/>
        <v>43098.9845072941</v>
      </c>
      <c r="M73" s="10">
        <f t="shared" si="16"/>
        <v>43066.3510685994</v>
      </c>
    </row>
    <row r="74" spans="1:13">
      <c r="A74" s="20">
        <v>8</v>
      </c>
      <c r="B74" s="15">
        <f t="shared" si="5"/>
        <v>-0.0139</v>
      </c>
      <c r="C74" s="10">
        <f t="shared" si="6"/>
        <v>40000</v>
      </c>
      <c r="D74" s="29">
        <f t="shared" si="7"/>
        <v>0</v>
      </c>
      <c r="E74" s="29">
        <f t="shared" si="8"/>
        <v>0</v>
      </c>
      <c r="F74" s="29">
        <f t="shared" si="9"/>
        <v>0</v>
      </c>
      <c r="G74" s="29">
        <f t="shared" si="10"/>
        <v>0</v>
      </c>
      <c r="H74" s="29">
        <f t="shared" si="11"/>
        <v>1</v>
      </c>
      <c r="I74" s="10">
        <f t="shared" si="12"/>
        <v>44739.6230761602</v>
      </c>
      <c r="J74" s="10">
        <f t="shared" si="13"/>
        <v>44739.6230761602</v>
      </c>
      <c r="K74" s="10">
        <f t="shared" si="14"/>
        <v>44739.6230761602</v>
      </c>
      <c r="L74" s="10">
        <f t="shared" si="15"/>
        <v>44739.6230761602</v>
      </c>
      <c r="M74" s="10">
        <f t="shared" si="16"/>
        <v>44703.3434182316</v>
      </c>
    </row>
    <row r="75" spans="1:13">
      <c r="A75" s="20">
        <v>8.5</v>
      </c>
      <c r="B75" s="15">
        <f t="shared" si="5"/>
        <v>-0.0179</v>
      </c>
      <c r="C75" s="10">
        <f t="shared" si="6"/>
        <v>40000</v>
      </c>
      <c r="D75" s="29">
        <f t="shared" si="7"/>
        <v>0</v>
      </c>
      <c r="E75" s="29">
        <f t="shared" si="8"/>
        <v>0</v>
      </c>
      <c r="F75" s="29">
        <f t="shared" si="9"/>
        <v>0</v>
      </c>
      <c r="G75" s="29">
        <f t="shared" si="10"/>
        <v>0</v>
      </c>
      <c r="H75" s="29">
        <f t="shared" si="11"/>
        <v>1</v>
      </c>
      <c r="I75" s="10">
        <f t="shared" si="12"/>
        <v>46637.6272983088</v>
      </c>
      <c r="J75" s="10">
        <f t="shared" si="13"/>
        <v>46637.6272983088</v>
      </c>
      <c r="K75" s="10">
        <f t="shared" si="14"/>
        <v>46637.6272983088</v>
      </c>
      <c r="L75" s="10">
        <f t="shared" si="15"/>
        <v>46637.6272983088</v>
      </c>
      <c r="M75" s="10">
        <f t="shared" si="16"/>
        <v>46597.2823060543</v>
      </c>
    </row>
    <row r="76" spans="1:13">
      <c r="A76" s="20">
        <v>9</v>
      </c>
      <c r="B76" s="15">
        <f t="shared" si="5"/>
        <v>-0.0219</v>
      </c>
      <c r="C76" s="10">
        <f t="shared" si="6"/>
        <v>40000</v>
      </c>
      <c r="D76" s="29">
        <f t="shared" si="7"/>
        <v>0</v>
      </c>
      <c r="E76" s="29">
        <f t="shared" si="8"/>
        <v>0</v>
      </c>
      <c r="F76" s="29">
        <f t="shared" si="9"/>
        <v>0</v>
      </c>
      <c r="G76" s="29">
        <f t="shared" si="10"/>
        <v>0</v>
      </c>
      <c r="H76" s="29">
        <f t="shared" si="11"/>
        <v>1</v>
      </c>
      <c r="I76" s="10">
        <f t="shared" si="12"/>
        <v>48821.448575349</v>
      </c>
      <c r="J76" s="10">
        <f t="shared" si="13"/>
        <v>48821.448575349</v>
      </c>
      <c r="K76" s="10">
        <f t="shared" si="14"/>
        <v>48821.448575349</v>
      </c>
      <c r="L76" s="10">
        <f t="shared" si="15"/>
        <v>48821.448575349</v>
      </c>
      <c r="M76" s="10">
        <f t="shared" si="16"/>
        <v>48776.5484111782</v>
      </c>
    </row>
    <row r="77" spans="1:13">
      <c r="A77" s="20">
        <v>9.5</v>
      </c>
      <c r="B77" s="15">
        <f t="shared" si="5"/>
        <v>-0.0259</v>
      </c>
      <c r="C77" s="10">
        <f t="shared" si="6"/>
        <v>40000</v>
      </c>
      <c r="D77" s="29">
        <f t="shared" si="7"/>
        <v>0</v>
      </c>
      <c r="E77" s="29">
        <f t="shared" si="8"/>
        <v>0</v>
      </c>
      <c r="F77" s="29">
        <f t="shared" si="9"/>
        <v>0</v>
      </c>
      <c r="G77" s="29">
        <f t="shared" si="10"/>
        <v>0</v>
      </c>
      <c r="H77" s="29">
        <f t="shared" si="11"/>
        <v>1</v>
      </c>
      <c r="I77" s="10">
        <f t="shared" si="12"/>
        <v>51324.6893645175</v>
      </c>
      <c r="J77" s="10">
        <f t="shared" si="13"/>
        <v>51324.6893645175</v>
      </c>
      <c r="K77" s="10">
        <f t="shared" si="14"/>
        <v>51324.6893645175</v>
      </c>
      <c r="L77" s="10">
        <f t="shared" si="15"/>
        <v>51324.6893645175</v>
      </c>
      <c r="M77" s="10">
        <f t="shared" si="16"/>
        <v>51274.6614552429</v>
      </c>
    </row>
    <row r="78" spans="1:13">
      <c r="A78" s="20">
        <v>10</v>
      </c>
      <c r="B78" s="15">
        <f t="shared" si="5"/>
        <v>-0.0299</v>
      </c>
      <c r="C78" s="10">
        <f>$B$8+$B$7</f>
        <v>1040000</v>
      </c>
      <c r="D78" s="29">
        <f t="shared" si="7"/>
        <v>0</v>
      </c>
      <c r="E78" s="29">
        <f t="shared" si="8"/>
        <v>0</v>
      </c>
      <c r="F78" s="29">
        <f t="shared" si="9"/>
        <v>0</v>
      </c>
      <c r="G78" s="29">
        <f t="shared" si="10"/>
        <v>0</v>
      </c>
      <c r="H78" s="29">
        <f t="shared" si="11"/>
        <v>1</v>
      </c>
      <c r="I78" s="10">
        <f t="shared" si="12"/>
        <v>1408861.47447349</v>
      </c>
      <c r="J78" s="10">
        <f t="shared" si="13"/>
        <v>1408861.47447349</v>
      </c>
      <c r="K78" s="10">
        <f t="shared" si="14"/>
        <v>1408861.47447349</v>
      </c>
      <c r="L78" s="10">
        <f t="shared" si="15"/>
        <v>1408861.47447349</v>
      </c>
      <c r="M78" s="10">
        <f t="shared" si="16"/>
        <v>1407410.01271999</v>
      </c>
    </row>
    <row r="79" spans="1:13">
      <c r="A79" s="22" t="s">
        <v>54</v>
      </c>
      <c r="B79" s="23"/>
      <c r="C79" s="23"/>
      <c r="D79" s="23"/>
      <c r="E79" s="23"/>
      <c r="F79" s="23"/>
      <c r="G79" s="23"/>
      <c r="H79" s="24"/>
      <c r="I79" s="25">
        <f>SUM(I59:I78)</f>
        <v>2180612.97251839</v>
      </c>
      <c r="J79" s="25">
        <f>SUM(J59:J78)</f>
        <v>2180606.78461469</v>
      </c>
      <c r="K79" s="25">
        <f>SUM(K59:K78)</f>
        <v>2180599.5837955</v>
      </c>
      <c r="L79" s="25">
        <f>SUM(L59:L78)</f>
        <v>2180591.95757562</v>
      </c>
      <c r="M79" s="25">
        <f>SUM(M59:M78)</f>
        <v>2178837.96132531</v>
      </c>
    </row>
    <row r="81" ht="15.6" spans="1:15">
      <c r="A81" s="4" t="s">
        <v>55</v>
      </c>
      <c r="B81" s="5"/>
      <c r="C81" s="5"/>
      <c r="D81" s="5"/>
    </row>
    <row r="82" ht="41.4" spans="1:15">
      <c r="A82" s="19" t="s">
        <v>56</v>
      </c>
      <c r="B82" s="19" t="s">
        <v>57</v>
      </c>
      <c r="C82" s="19" t="s">
        <v>58</v>
      </c>
      <c r="D82" s="19" t="s">
        <v>59</v>
      </c>
      <c r="E82" s="19" t="s">
        <v>60</v>
      </c>
    </row>
    <row r="83" spans="1:15">
      <c r="A83" s="6" t="s">
        <v>61</v>
      </c>
      <c r="B83" s="15">
        <f>B24</f>
        <v>0.0421</v>
      </c>
      <c r="C83" s="10">
        <f>$E$53</f>
        <v>2180621.25673125</v>
      </c>
      <c r="D83" s="10">
        <f>$I$79</f>
        <v>2180612.97251839</v>
      </c>
      <c r="E83" s="32">
        <f>C83-D83</f>
        <v>8.28421286121011</v>
      </c>
    </row>
    <row r="84" spans="1:15">
      <c r="A84" s="6" t="s">
        <v>62</v>
      </c>
      <c r="B84" s="15">
        <f>B25</f>
        <v>0.0341</v>
      </c>
      <c r="C84" s="10">
        <f>$E$53</f>
        <v>2180621.25673125</v>
      </c>
      <c r="D84" s="10">
        <f>$J$79</f>
        <v>2180606.78461469</v>
      </c>
      <c r="E84" s="32">
        <f>C84-D84</f>
        <v>14.4721165644005</v>
      </c>
    </row>
    <row r="85" spans="1:15">
      <c r="A85" s="6" t="s">
        <v>63</v>
      </c>
      <c r="B85" s="15">
        <f>B26</f>
        <v>0.0261</v>
      </c>
      <c r="C85" s="10">
        <f>$E$53</f>
        <v>2180621.25673125</v>
      </c>
      <c r="D85" s="10">
        <f>$K$79</f>
        <v>2180599.5837955</v>
      </c>
      <c r="E85" s="32">
        <f>C85-D85</f>
        <v>21.6729357521981</v>
      </c>
    </row>
    <row r="86" spans="1:15">
      <c r="A86" s="6" t="s">
        <v>64</v>
      </c>
      <c r="B86" s="15">
        <f>B27</f>
        <v>0.0181</v>
      </c>
      <c r="C86" s="10">
        <f>$E$53</f>
        <v>2180621.25673125</v>
      </c>
      <c r="D86" s="10">
        <f>$L$79</f>
        <v>2180591.95757562</v>
      </c>
      <c r="E86" s="32">
        <f>C86-D86</f>
        <v>29.2991556357592</v>
      </c>
    </row>
    <row r="87" spans="1:15">
      <c r="A87" s="6" t="s">
        <v>65</v>
      </c>
      <c r="B87" s="15">
        <f>B28</f>
        <v>0.0101</v>
      </c>
      <c r="C87" s="10">
        <f>$E$53</f>
        <v>2180621.25673125</v>
      </c>
      <c r="D87" s="10">
        <f>$M$79</f>
        <v>2178837.96132531</v>
      </c>
      <c r="E87" s="32">
        <f>C87-D87</f>
        <v>1783.29540594481</v>
      </c>
    </row>
    <row r="88" spans="1:15">
      <c r="A88" s="22" t="s">
        <v>66</v>
      </c>
      <c r="B88" s="23"/>
      <c r="C88" s="23"/>
      <c r="D88" s="24"/>
      <c r="E88" s="25">
        <f>SUM(E83:E87)</f>
        <v>1857.02382675838</v>
      </c>
    </row>
    <row r="90" ht="15.6" spans="1:15">
      <c r="A90" s="4" t="s">
        <v>67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>
      <c r="A91" s="33" t="s">
        <v>68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</row>
    <row r="92" spans="1:15">
      <c r="A92" s="33" t="s">
        <v>69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 spans="1:15">
      <c r="A93" s="33" t="s">
        <v>70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</row>
    <row r="94" spans="1:15">
      <c r="A94" s="33" t="s">
        <v>71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</sheetData>
  <mergeCells count="18">
    <mergeCell ref="A1:O1"/>
    <mergeCell ref="A3:B3"/>
    <mergeCell ref="A11:D11"/>
    <mergeCell ref="B20:D20"/>
    <mergeCell ref="A22:C22"/>
    <mergeCell ref="A31:F31"/>
    <mergeCell ref="A53:D53"/>
    <mergeCell ref="A54:D54"/>
    <mergeCell ref="A56:O56"/>
    <mergeCell ref="G57:O57"/>
    <mergeCell ref="A79:H79"/>
    <mergeCell ref="A81:D81"/>
    <mergeCell ref="A88:D88"/>
    <mergeCell ref="A90:O90"/>
    <mergeCell ref="A91:O91"/>
    <mergeCell ref="A92:O92"/>
    <mergeCell ref="A93:O93"/>
    <mergeCell ref="A94:O94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AD50AB0-02DC-4ACC-8878-26BD42FE492B}">
  <ds:schemaRefs/>
</ds:datastoreItem>
</file>

<file path=customXml/itemProps2.xml><?xml version="1.0" encoding="utf-8"?>
<ds:datastoreItem xmlns:ds="http://schemas.openxmlformats.org/officeDocument/2006/customXml" ds:itemID="{4B5DD48D-9E54-4FFB-8E92-BFB8CE4F1C7B}">
  <ds:schemaRefs/>
</ds:datastoreItem>
</file>

<file path=customXml/itemProps3.xml><?xml version="1.0" encoding="utf-8"?>
<ds:datastoreItem xmlns:ds="http://schemas.openxmlformats.org/officeDocument/2006/customXml" ds:itemID="{E2B7FC85-7646-4FD9-935D-750524FEC3D9}">
  <ds:schemaRefs/>
</ds:datastoreItem>
</file>

<file path=customXml/itemProps4.xml><?xml version="1.0" encoding="utf-8"?>
<ds:datastoreItem xmlns:ds="http://schemas.openxmlformats.org/officeDocument/2006/customXml" ds:itemID="{01BC11FC-9E89-4917-8096-D7974FD51742}">
  <ds:schemaRefs/>
</ds:datastoreItem>
</file>

<file path=customXml/itemProps5.xml><?xml version="1.0" encoding="utf-8"?>
<ds:datastoreItem xmlns:ds="http://schemas.openxmlformats.org/officeDocument/2006/customXml" ds:itemID="{4DF71EB8-B523-4F45-AED4-4A75EC75361C}">
  <ds:schemaRefs/>
</ds:datastoreItem>
</file>

<file path=customXml/itemProps6.xml><?xml version="1.0" encoding="utf-8"?>
<ds:datastoreItem xmlns:ds="http://schemas.openxmlformats.org/officeDocument/2006/customXml" ds:itemID="{B1A9832E-0AC1-48C1-9B73-D068150B472D}">
  <ds:schemaRefs/>
</ds:datastoreItem>
</file>

<file path=customXml/itemProps7.xml><?xml version="1.0" encoding="utf-8"?>
<ds:datastoreItem xmlns:ds="http://schemas.openxmlformats.org/officeDocument/2006/customXml" ds:itemID="{1D403345-50A1-4D4B-B10D-58836B806E70}">
  <ds:schemaRefs/>
</ds:datastoreItem>
</file>

<file path=customXml/itemProps8.xml><?xml version="1.0" encoding="utf-8"?>
<ds:datastoreItem xmlns:ds="http://schemas.openxmlformats.org/officeDocument/2006/customXml" ds:itemID="{544CEC62-2C8F-40C6-BFCB-9E6E3B0D27AE}">
  <ds:schemaRefs/>
</ds:datastoreItem>
</file>

<file path=customXml/itemProps9.xml><?xml version="1.0" encoding="utf-8"?>
<ds:datastoreItem xmlns:ds="http://schemas.openxmlformats.org/officeDocument/2006/customXml" ds:itemID="{28BA3627-1022-4468-B18A-D2BFBB5394B3}">
  <ds:schemaRefs/>
</ds:datastoreItem>
</file>

<file path=customXml/itemProps10.xml><?xml version="1.0" encoding="utf-8"?>
<ds:datastoreItem xmlns:ds="http://schemas.openxmlformats.org/officeDocument/2006/customXml" ds:itemID="{8767F30B-376D-493D-8537-EE310B70F67F}">
  <ds:schemaRefs/>
</ds:datastoreItem>
</file>

<file path=customXml/itemProps11.xml><?xml version="1.0" encoding="utf-8"?>
<ds:datastoreItem xmlns:ds="http://schemas.openxmlformats.org/officeDocument/2006/customXml" ds:itemID="{4143599A-5F28-4AF3-A91A-C860732F57E2}">
  <ds:schemaRefs/>
</ds:datastoreItem>
</file>

<file path=customXml/itemProps12.xml><?xml version="1.0" encoding="utf-8"?>
<ds:datastoreItem xmlns:ds="http://schemas.openxmlformats.org/officeDocument/2006/customXml" ds:itemID="{DA1D0570-6EBC-4B6E-A6F1-E7D4FD10C9F7}">
  <ds:schemaRefs/>
</ds:datastoreItem>
</file>

<file path=customXml/itemProps13.xml><?xml version="1.0" encoding="utf-8"?>
<ds:datastoreItem xmlns:ds="http://schemas.openxmlformats.org/officeDocument/2006/customXml" ds:itemID="{431F8D47-6D25-4A27-959D-6B5F8514CBD8}">
  <ds:schemaRefs/>
</ds:datastoreItem>
</file>

<file path=customXml/itemProps14.xml><?xml version="1.0" encoding="utf-8"?>
<ds:datastoreItem xmlns:ds="http://schemas.openxmlformats.org/officeDocument/2006/customXml" ds:itemID="{BD915606-1F2C-4A4E-AF0D-BD9B273C0984}">
  <ds:schemaRefs/>
</ds:datastoreItem>
</file>

<file path=customXml/itemProps15.xml><?xml version="1.0" encoding="utf-8"?>
<ds:datastoreItem xmlns:ds="http://schemas.openxmlformats.org/officeDocument/2006/customXml" ds:itemID="{6D1A46C7-0147-4563-9B72-B3881519481F}">
  <ds:schemaRefs/>
</ds:datastoreItem>
</file>

<file path=customXml/itemProps16.xml><?xml version="1.0" encoding="utf-8"?>
<ds:datastoreItem xmlns:ds="http://schemas.openxmlformats.org/officeDocument/2006/customXml" ds:itemID="{48CF889C-C9AE-4D12-961A-F8F5F9D287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Macaulay Duration (a)</vt:lpstr>
      <vt:lpstr>DV01 (b)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vy3712293@gmail.com</dc:creator>
  <cp:lastModifiedBy>Naresh Yadav</cp:lastModifiedBy>
  <dcterms:created xsi:type="dcterms:W3CDTF">2026-09-18T08:34:00Z</dcterms:created>
  <dcterms:modified xsi:type="dcterms:W3CDTF">2026-09-30T12:17:17Z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471F1C03CF8A4FDBAEAF9C43DEFFD067_12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